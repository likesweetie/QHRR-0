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likes\Downloads\"/>
    </mc:Choice>
  </mc:AlternateContent>
  <xr:revisionPtr revIDLastSave="0" documentId="13_ncr:1_{AF48AEA8-FF6A-487F-82B8-D0D7E805B1A5}" xr6:coauthVersionLast="47" xr6:coauthVersionMax="47" xr10:uidLastSave="{00000000-0000-0000-0000-000000000000}"/>
  <workbookProtection workbookAlgorithmName="SHA-512" workbookHashValue="e6YZJr7GwvR+jgmy0FRdXXId4649coz7yiAHW/a+hML0d2nMLb3oUOWyzvWTB1jzpPrgM7A5rMGwq9oDh2Qp2g==" workbookSaltValue="aV7HvG8HmwYEcGyRRdBcWQ==" workbookSpinCount="100000" lockStructure="1"/>
  <bookViews>
    <workbookView xWindow="-30828" yWindow="-108" windowWidth="30936" windowHeight="16776" tabRatio="652" activeTab="1" xr2:uid="{00000000-000D-0000-FFFF-FFFF00000000}"/>
  </bookViews>
  <sheets>
    <sheet name="Instructions" sheetId="16" r:id="rId1"/>
    <sheet name="Design Calculator" sheetId="1" r:id="rId2"/>
    <sheet name="Device Parameters" sheetId="6" state="hidden" r:id="rId3"/>
    <sheet name="Equations" sheetId="3" state="hidden" r:id="rId4"/>
    <sheet name="MOSFET Database 24V" sheetId="17" state="hidden" r:id="rId5"/>
    <sheet name="MOSFET Database 48V" sheetId="18" state="hidden" r:id="rId6"/>
    <sheet name="Start_up" sheetId="13" state="hidden" r:id="rId7"/>
    <sheet name="SOA" sheetId="7" state="hidden" r:id="rId8"/>
    <sheet name="dv_dt_recommendations" sheetId="14" state="hidden" r:id="rId9"/>
  </sheets>
  <externalReferences>
    <externalReference r:id="rId10"/>
    <externalReference r:id="rId11"/>
  </externalReferences>
  <definedNames>
    <definedName name="CLMAX">Equations!$F$15</definedName>
    <definedName name="CLMAX_Threshold">Equations!$E$6</definedName>
    <definedName name="CLMIN">Equations!$F$13</definedName>
    <definedName name="CLMIN_Threshold">Equations!$E$4</definedName>
    <definedName name="CLNOM">Equations!$F$14</definedName>
    <definedName name="CLNOM_Threshold">Equations!$E$5</definedName>
    <definedName name="COUTMAX">'Design Calculator'!$F$23</definedName>
    <definedName name="CTIMER">'Design Calculator'!#REF!</definedName>
    <definedName name="I_Cout_ss">Equations!$F$60</definedName>
    <definedName name="ILIM" localSheetId="7">[1]ILIM_SOA_considerations!$C$25</definedName>
    <definedName name="ILIM">[2]ILIM_SOA_considerations!$C$25</definedName>
    <definedName name="Ilim_min" localSheetId="7">[1]ILIM_SOA_considerations!$C$61</definedName>
    <definedName name="Ilim_min">[2]ILIM_SOA_considerations!$C$61</definedName>
    <definedName name="IOUTMAX">'Design Calculator'!$F$22</definedName>
    <definedName name="MaxFETPW">'Design Calculator'!#REF!</definedName>
    <definedName name="NUMFETS1">'Design Calculator'!$F$64</definedName>
    <definedName name="NUMFETS2">'Design Calculator'!$G$64</definedName>
    <definedName name="NUMFETS3">'Design Calculator'!$H$64</definedName>
    <definedName name="PLIM" localSheetId="7">[1]ILIM_SOA_considerations!$C$40</definedName>
    <definedName name="PLIM">[2]ILIM_SOA_considerations!$C$40</definedName>
    <definedName name="PLIMMAX">'Design Calculator'!#REF!</definedName>
    <definedName name="PLIMMIN">'Design Calculator'!#REF!</definedName>
    <definedName name="PLIMNOM">'Design Calculator'!#REF!</definedName>
    <definedName name="_xlnm.Print_Area" localSheetId="1">'Design Calculator'!$A$1:$M$214</definedName>
    <definedName name="RDIV1">'Design Calculator'!$F$38</definedName>
    <definedName name="RDIV2">'Design Calculator'!$F$39</definedName>
    <definedName name="RDSON">'Design Calculator'!$AP$57</definedName>
    <definedName name="RPWR">'Design Calculator'!$F$51</definedName>
    <definedName name="Rrflt" localSheetId="7">[1]ILIM_SOA_considerations!$C$46</definedName>
    <definedName name="Rrflt">[2]ILIM_SOA_considerations!$C$46</definedName>
    <definedName name="Rs">'Design Calculator'!$F$35</definedName>
    <definedName name="RsEFF">Equations!$F$12</definedName>
    <definedName name="Rsense" localSheetId="7">[1]ILIM_SOA_considerations!$C$30</definedName>
    <definedName name="Rsense">[2]ILIM_SOA_considerations!$C$30</definedName>
    <definedName name="RsMAX">'Design Calculator'!$F$33</definedName>
    <definedName name="SFET24_1">'MOSFET Database 24V'!$C$67</definedName>
    <definedName name="SFET24_2">'MOSFET Database 24V'!$G$67</definedName>
    <definedName name="SFET48_1">'MOSFET Database 48V'!$C$67</definedName>
    <definedName name="SFET48_2">'MOSFET Database 48V'!$G$67</definedName>
    <definedName name="SOA_av" localSheetId="7">[1]ILIM_SOA_considerations!$C$52</definedName>
    <definedName name="SOA_av">[2]ILIM_SOA_considerations!$C$52</definedName>
    <definedName name="solver_adj" localSheetId="7" hidden="1">SOA!#REF!</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SOA!#REF!</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definedName>
    <definedName name="solver_ver" localSheetId="7" hidden="1">3</definedName>
    <definedName name="ss_rate">Equations!$F$56</definedName>
    <definedName name="T_cap_charge" localSheetId="7">[1]ILIM_SOA_considerations!$C$45</definedName>
    <definedName name="T_cap_charge">[2]ILIM_SOA_considerations!$C$45</definedName>
    <definedName name="T_margin" localSheetId="7">[1]ILIM_SOA_considerations!$C$9</definedName>
    <definedName name="T_margin">[2]ILIM_SOA_considerations!$C$9</definedName>
    <definedName name="T_total" localSheetId="7">[1]ILIM_SOA_considerations!$C$47</definedName>
    <definedName name="T_total">[2]ILIM_SOA_considerations!$C$47</definedName>
    <definedName name="TAMB">'Design Calculator'!$F$24</definedName>
    <definedName name="Tfault">'Design Calculator'!$F$84</definedName>
    <definedName name="Tfaultmax">'Design Calculator'!#REF!</definedName>
    <definedName name="ThetaJA">'Design Calculator'!$F$26</definedName>
    <definedName name="TINSERT">'Design Calculator'!$F$99</definedName>
    <definedName name="TINSERTMAX">Equations!$F$104</definedName>
    <definedName name="TINSERTMIN">Equations!$F$102</definedName>
    <definedName name="TJ">'Design Calculator'!$H$65</definedName>
    <definedName name="TJDC1">'Design Calculator'!$F$66</definedName>
    <definedName name="TJDC2">'Design Calculator'!$G$66</definedName>
    <definedName name="TJDC3">'Design Calculator'!$H$66</definedName>
    <definedName name="TJMAX">'Design Calculator'!$AP$58</definedName>
    <definedName name="Tsd" localSheetId="7">[1]ILIM_SOA_considerations!$C$67</definedName>
    <definedName name="Tsd">[2]ILIM_SOA_considerations!$C$67</definedName>
    <definedName name="TSTARTMAX">Equations!$F$91</definedName>
    <definedName name="TSTARTMIN">Equations!$F$89</definedName>
    <definedName name="TSTARTNOM">Equations!$F$90</definedName>
    <definedName name="V_sns_cl_max" localSheetId="7">[1]ILIM_SOA_considerations!$C$15</definedName>
    <definedName name="V_sns_cl_max">[2]ILIM_SOA_considerations!$C$15</definedName>
    <definedName name="Vbus" localSheetId="7">[1]ILIM_SOA_considerations!$C$23</definedName>
    <definedName name="Vbus">[2]ILIM_SOA_considerations!$C$23</definedName>
    <definedName name="VINMAX">'Design Calculator'!$F$21</definedName>
    <definedName name="VINMIN">'Design Calculator'!$F$19</definedName>
    <definedName name="VINNOM">'Design Calculator'!$F$20</definedName>
    <definedName name="yesno">'Design Calculator'!$AU$14:$AU$14</definedName>
  </definedNames>
  <calcPr calcId="191029"/>
</workbook>
</file>

<file path=xl/calcChain.xml><?xml version="1.0" encoding="utf-8"?>
<calcChain xmlns="http://schemas.openxmlformats.org/spreadsheetml/2006/main">
  <c r="BS43" i="17" l="1"/>
  <c r="BS42" i="17"/>
  <c r="BS41" i="17"/>
  <c r="BS40" i="17"/>
  <c r="BC43" i="17"/>
  <c r="BC42" i="17"/>
  <c r="BC41" i="17"/>
  <c r="BC40" i="17"/>
  <c r="BC39" i="17"/>
  <c r="F152" i="1"/>
  <c r="J117" i="14" l="1"/>
  <c r="E126" i="14"/>
  <c r="E125" i="14"/>
  <c r="G140" i="14" s="1"/>
  <c r="E124" i="14"/>
  <c r="E128" i="14"/>
  <c r="E134" i="14" s="1"/>
  <c r="E120" i="14"/>
  <c r="E77" i="14"/>
  <c r="E76" i="14"/>
  <c r="G91" i="14" s="1"/>
  <c r="E75" i="14"/>
  <c r="E79" i="14"/>
  <c r="E85" i="14" s="1"/>
  <c r="E71" i="14"/>
  <c r="H122" i="7"/>
  <c r="C103" i="7"/>
  <c r="F102" i="7"/>
  <c r="E102" i="7"/>
  <c r="D102" i="7"/>
  <c r="C102" i="7"/>
  <c r="B102" i="7"/>
  <c r="H107" i="7"/>
  <c r="C107" i="7"/>
  <c r="H74" i="7"/>
  <c r="H59" i="7"/>
  <c r="C59" i="7"/>
  <c r="E82" i="14" l="1"/>
  <c r="N91" i="14"/>
  <c r="N92" i="14" s="1"/>
  <c r="V140" i="14"/>
  <c r="V141" i="14" s="1"/>
  <c r="F140" i="14"/>
  <c r="F141" i="14" s="1"/>
  <c r="F132" i="7"/>
  <c r="M124" i="14" s="1"/>
  <c r="G141" i="14"/>
  <c r="N140" i="14"/>
  <c r="N141" i="14" s="1"/>
  <c r="F91" i="14"/>
  <c r="F92" i="14" s="1"/>
  <c r="U140" i="14"/>
  <c r="U141" i="14" s="1"/>
  <c r="V91" i="14"/>
  <c r="V92" i="14" s="1"/>
  <c r="M140" i="14"/>
  <c r="M141" i="14" s="1"/>
  <c r="G92" i="14"/>
  <c r="U91" i="14"/>
  <c r="U92" i="14" s="1"/>
  <c r="M91" i="14"/>
  <c r="M92" i="14" s="1"/>
  <c r="R91" i="14"/>
  <c r="R92" i="14" s="1"/>
  <c r="J91" i="14"/>
  <c r="J92" i="14" s="1"/>
  <c r="R140" i="14"/>
  <c r="R141" i="14" s="1"/>
  <c r="J140" i="14"/>
  <c r="J141" i="14" s="1"/>
  <c r="E132" i="7"/>
  <c r="L124" i="14" s="1"/>
  <c r="E91" i="14"/>
  <c r="E92" i="14" s="1"/>
  <c r="Q91" i="14"/>
  <c r="Q92" i="14" s="1"/>
  <c r="I91" i="14"/>
  <c r="I92" i="14" s="1"/>
  <c r="E140" i="14"/>
  <c r="E141" i="14" s="1"/>
  <c r="Q140" i="14"/>
  <c r="Q141" i="14" s="1"/>
  <c r="I140" i="14"/>
  <c r="I141" i="14" s="1"/>
  <c r="X91" i="14"/>
  <c r="X92" i="14" s="1"/>
  <c r="T91" i="14"/>
  <c r="T92" i="14" s="1"/>
  <c r="P91" i="14"/>
  <c r="P92" i="14" s="1"/>
  <c r="L91" i="14"/>
  <c r="L92" i="14" s="1"/>
  <c r="H91" i="14"/>
  <c r="H92" i="14" s="1"/>
  <c r="X140" i="14"/>
  <c r="X141" i="14" s="1"/>
  <c r="T140" i="14"/>
  <c r="T141" i="14" s="1"/>
  <c r="P140" i="14"/>
  <c r="P141" i="14" s="1"/>
  <c r="L140" i="14"/>
  <c r="L141" i="14" s="1"/>
  <c r="H140" i="14"/>
  <c r="H141" i="14" s="1"/>
  <c r="W91" i="14"/>
  <c r="W92" i="14" s="1"/>
  <c r="S91" i="14"/>
  <c r="S92" i="14" s="1"/>
  <c r="O91" i="14"/>
  <c r="O92" i="14" s="1"/>
  <c r="K91" i="14"/>
  <c r="K92" i="14" s="1"/>
  <c r="W140" i="14"/>
  <c r="W141" i="14" s="1"/>
  <c r="S140" i="14"/>
  <c r="S141" i="14" s="1"/>
  <c r="O140" i="14"/>
  <c r="O141" i="14" s="1"/>
  <c r="K140" i="14"/>
  <c r="K141" i="14" s="1"/>
  <c r="E158" i="14"/>
  <c r="E136" i="14"/>
  <c r="E135" i="14"/>
  <c r="E131" i="14"/>
  <c r="E109" i="14"/>
  <c r="E87" i="14"/>
  <c r="E86" i="14"/>
  <c r="D132" i="7"/>
  <c r="C132" i="7"/>
  <c r="F131" i="7" l="1"/>
  <c r="M123" i="14" s="1"/>
  <c r="E131" i="7"/>
  <c r="L123" i="14" s="1"/>
  <c r="D131" i="7"/>
  <c r="K123" i="14" s="1"/>
  <c r="K124" i="14"/>
  <c r="C131" i="7"/>
  <c r="J123" i="14" s="1"/>
  <c r="J124" i="14"/>
  <c r="E90" i="14"/>
  <c r="E89" i="14"/>
  <c r="E139" i="14"/>
  <c r="E138" i="14"/>
  <c r="H73" i="3"/>
  <c r="H74" i="3" s="1"/>
  <c r="G73" i="3"/>
  <c r="G74" i="3" s="1"/>
  <c r="H71" i="3"/>
  <c r="H72" i="3" s="1"/>
  <c r="G71" i="3"/>
  <c r="G72" i="3" s="1"/>
  <c r="H58" i="3"/>
  <c r="G58" i="3"/>
  <c r="H56" i="3"/>
  <c r="H57" i="3" s="1"/>
  <c r="G56" i="3"/>
  <c r="H51" i="3"/>
  <c r="H52" i="3" s="1"/>
  <c r="G51" i="3"/>
  <c r="H48" i="3"/>
  <c r="G48" i="3"/>
  <c r="H29" i="3"/>
  <c r="H28" i="3"/>
  <c r="H27" i="3"/>
  <c r="H26" i="3"/>
  <c r="H25" i="3"/>
  <c r="H24" i="3"/>
  <c r="G67" i="18"/>
  <c r="G68" i="18" s="1"/>
  <c r="C67" i="18"/>
  <c r="C68" i="18" s="1"/>
  <c r="G67" i="17"/>
  <c r="C67" i="17"/>
  <c r="E143" i="14" l="1"/>
  <c r="E94" i="14"/>
  <c r="G52" i="3"/>
  <c r="G104" i="3"/>
  <c r="G102" i="3"/>
  <c r="G103" i="3"/>
  <c r="H103" i="3"/>
  <c r="H104" i="3"/>
  <c r="H102" i="3"/>
  <c r="H59" i="3"/>
  <c r="H61" i="3" s="1"/>
  <c r="E122" i="14" s="1"/>
  <c r="G57" i="3"/>
  <c r="G59" i="3" s="1"/>
  <c r="AM64" i="18"/>
  <c r="AI64" i="18"/>
  <c r="AE64" i="18"/>
  <c r="AA64" i="18"/>
  <c r="W64" i="18"/>
  <c r="S64" i="18"/>
  <c r="O64" i="18"/>
  <c r="K64" i="18"/>
  <c r="G64" i="18"/>
  <c r="C64" i="18"/>
  <c r="AM43" i="18"/>
  <c r="AI43" i="18"/>
  <c r="AE43" i="18"/>
  <c r="AA43" i="18"/>
  <c r="W43" i="18"/>
  <c r="S43" i="18"/>
  <c r="O43" i="18"/>
  <c r="K43" i="18"/>
  <c r="G43" i="18"/>
  <c r="C43" i="18"/>
  <c r="AM42" i="18"/>
  <c r="AI42" i="18"/>
  <c r="AE42" i="18"/>
  <c r="AA42" i="18"/>
  <c r="W42" i="18"/>
  <c r="S42" i="18"/>
  <c r="O42" i="18"/>
  <c r="K42" i="18"/>
  <c r="G42" i="18"/>
  <c r="C42" i="18"/>
  <c r="AM41" i="18"/>
  <c r="AI41" i="18"/>
  <c r="AE41" i="18"/>
  <c r="AA41" i="18"/>
  <c r="W41" i="18"/>
  <c r="S41" i="18"/>
  <c r="O41" i="18"/>
  <c r="K41" i="18"/>
  <c r="G41" i="18"/>
  <c r="C41" i="18"/>
  <c r="AM40" i="18"/>
  <c r="AI40" i="18"/>
  <c r="AE40" i="18"/>
  <c r="AA40" i="18"/>
  <c r="W40" i="18"/>
  <c r="S40" i="18"/>
  <c r="O40" i="18"/>
  <c r="K40" i="18"/>
  <c r="G40" i="18"/>
  <c r="C40" i="18"/>
  <c r="AE39" i="18"/>
  <c r="AA39" i="18"/>
  <c r="W39" i="18"/>
  <c r="S39" i="18"/>
  <c r="O39" i="18"/>
  <c r="K39" i="18"/>
  <c r="AM28" i="18"/>
  <c r="AM29" i="18" s="1"/>
  <c r="AI28" i="18"/>
  <c r="AI29" i="18" s="1"/>
  <c r="AE28" i="18"/>
  <c r="AE29" i="18" s="1"/>
  <c r="AA28" i="18"/>
  <c r="AA29" i="18" s="1"/>
  <c r="W28" i="18"/>
  <c r="W29" i="18" s="1"/>
  <c r="S28" i="18"/>
  <c r="S29" i="18" s="1"/>
  <c r="O28" i="18"/>
  <c r="O29" i="18" s="1"/>
  <c r="K28" i="18"/>
  <c r="K29" i="18" s="1"/>
  <c r="G28" i="18"/>
  <c r="G29" i="18" s="1"/>
  <c r="C28" i="18"/>
  <c r="C29" i="18" s="1"/>
  <c r="AM27" i="18"/>
  <c r="AI27" i="18"/>
  <c r="AE27" i="18"/>
  <c r="AA27" i="18"/>
  <c r="W27" i="18"/>
  <c r="S27" i="18"/>
  <c r="O27" i="18"/>
  <c r="K27" i="18"/>
  <c r="G27" i="18"/>
  <c r="C27" i="18"/>
  <c r="AM26" i="18"/>
  <c r="AI26" i="18"/>
  <c r="AE26" i="18"/>
  <c r="AA26" i="18"/>
  <c r="W26" i="18"/>
  <c r="S26" i="18"/>
  <c r="O26" i="18"/>
  <c r="K26" i="18"/>
  <c r="G26" i="18"/>
  <c r="C26" i="18"/>
  <c r="AM25" i="18"/>
  <c r="AI25" i="18"/>
  <c r="AE25" i="18"/>
  <c r="AA25" i="18"/>
  <c r="W25" i="18"/>
  <c r="S25" i="18"/>
  <c r="O25" i="18"/>
  <c r="K25" i="18"/>
  <c r="G25" i="18"/>
  <c r="C25" i="18"/>
  <c r="BB62" i="1"/>
  <c r="BB63" i="1"/>
  <c r="BB61" i="1"/>
  <c r="BB60" i="1"/>
  <c r="BB59" i="1"/>
  <c r="BB57" i="1"/>
  <c r="BB56" i="1"/>
  <c r="BB58" i="1"/>
  <c r="BB55" i="1"/>
  <c r="BB54" i="1"/>
  <c r="AU71" i="1"/>
  <c r="AU70" i="1"/>
  <c r="AU69" i="1"/>
  <c r="AU67" i="1"/>
  <c r="AU65" i="1"/>
  <c r="AU66" i="1"/>
  <c r="AU68" i="1"/>
  <c r="AU64" i="1"/>
  <c r="AU58" i="1"/>
  <c r="AU62" i="1"/>
  <c r="AU59" i="1"/>
  <c r="AU63" i="1"/>
  <c r="AU61" i="1"/>
  <c r="AU57" i="1"/>
  <c r="AU55" i="1"/>
  <c r="AU60" i="1"/>
  <c r="AU56" i="1"/>
  <c r="AU54" i="1"/>
  <c r="AZ62" i="1"/>
  <c r="AZ63" i="1"/>
  <c r="AZ61" i="1"/>
  <c r="AZ60" i="1"/>
  <c r="AZ59" i="1"/>
  <c r="AZ57" i="1"/>
  <c r="AZ56" i="1"/>
  <c r="AZ58" i="1"/>
  <c r="AZ55" i="1"/>
  <c r="AZ54" i="1"/>
  <c r="AS71" i="1"/>
  <c r="AS70" i="1"/>
  <c r="AS69" i="1"/>
  <c r="AS67" i="1"/>
  <c r="AS65" i="1"/>
  <c r="AS66" i="1"/>
  <c r="AS68" i="1"/>
  <c r="AS64" i="1"/>
  <c r="AS58" i="1"/>
  <c r="AS62" i="1"/>
  <c r="AS59" i="1"/>
  <c r="AS63" i="1"/>
  <c r="AS61" i="1"/>
  <c r="AS57" i="1"/>
  <c r="AS55" i="1"/>
  <c r="AS60" i="1"/>
  <c r="AS56" i="1"/>
  <c r="AS54" i="1"/>
  <c r="BW28" i="17"/>
  <c r="BW29" i="17" s="1"/>
  <c r="BS28" i="17"/>
  <c r="BS29" i="17" s="1"/>
  <c r="BO28" i="17"/>
  <c r="BO29" i="17" s="1"/>
  <c r="BK28" i="17"/>
  <c r="BK29" i="17" s="1"/>
  <c r="BG28" i="17"/>
  <c r="BG29" i="17" s="1"/>
  <c r="BC28" i="17"/>
  <c r="BC29" i="17" s="1"/>
  <c r="AY28" i="17"/>
  <c r="AY29" i="17" s="1"/>
  <c r="AU28" i="17"/>
  <c r="AU29" i="17" s="1"/>
  <c r="AQ28" i="17"/>
  <c r="AQ29" i="17" s="1"/>
  <c r="AM28" i="17"/>
  <c r="AM29" i="17" s="1"/>
  <c r="AI28" i="17"/>
  <c r="AI29" i="17" s="1"/>
  <c r="AE28" i="17"/>
  <c r="AE29" i="17" s="1"/>
  <c r="AA28" i="17"/>
  <c r="AA29" i="17" s="1"/>
  <c r="W28" i="17"/>
  <c r="W29" i="17" s="1"/>
  <c r="S28" i="17"/>
  <c r="S29" i="17" s="1"/>
  <c r="O28" i="17"/>
  <c r="O29" i="17" s="1"/>
  <c r="K28" i="17"/>
  <c r="K29" i="17" s="1"/>
  <c r="G28" i="17"/>
  <c r="G29" i="17" s="1"/>
  <c r="C43" i="17"/>
  <c r="C42" i="17"/>
  <c r="C41" i="17"/>
  <c r="C40" i="17"/>
  <c r="C39" i="17"/>
  <c r="C28" i="17"/>
  <c r="C25" i="17"/>
  <c r="C7" i="17"/>
  <c r="C6" i="17"/>
  <c r="K68" i="17"/>
  <c r="BW64" i="17"/>
  <c r="BS64" i="17"/>
  <c r="BO64" i="17"/>
  <c r="BK64" i="17"/>
  <c r="BG64" i="17"/>
  <c r="BC64" i="17"/>
  <c r="AY64" i="17"/>
  <c r="AU64" i="17"/>
  <c r="AQ64" i="17"/>
  <c r="AM64" i="17"/>
  <c r="AI64" i="17"/>
  <c r="AE64" i="17"/>
  <c r="AA64" i="17"/>
  <c r="W64" i="17"/>
  <c r="S64" i="17"/>
  <c r="O64" i="17"/>
  <c r="K64" i="17"/>
  <c r="G64" i="17"/>
  <c r="C64" i="17"/>
  <c r="BW43" i="17"/>
  <c r="BO43" i="17"/>
  <c r="BK43" i="17"/>
  <c r="BG43" i="17"/>
  <c r="AY43" i="17"/>
  <c r="AU43" i="17"/>
  <c r="AQ43" i="17"/>
  <c r="AM43" i="17"/>
  <c r="AI43" i="17"/>
  <c r="AE43" i="17"/>
  <c r="AA43" i="17"/>
  <c r="W43" i="17"/>
  <c r="S43" i="17"/>
  <c r="O43" i="17"/>
  <c r="K43" i="17"/>
  <c r="G43" i="17"/>
  <c r="BW42" i="17"/>
  <c r="BO42" i="17"/>
  <c r="BK42" i="17"/>
  <c r="BG42" i="17"/>
  <c r="AY42" i="17"/>
  <c r="AU42" i="17"/>
  <c r="AQ42" i="17"/>
  <c r="AM42" i="17"/>
  <c r="AI42" i="17"/>
  <c r="AE42" i="17"/>
  <c r="AA42" i="17"/>
  <c r="W42" i="17"/>
  <c r="S42" i="17"/>
  <c r="O42" i="17"/>
  <c r="K42" i="17"/>
  <c r="G42" i="17"/>
  <c r="BW41" i="17"/>
  <c r="BO41" i="17"/>
  <c r="BK41" i="17"/>
  <c r="BG41" i="17"/>
  <c r="AY41" i="17"/>
  <c r="AU41" i="17"/>
  <c r="AQ41" i="17"/>
  <c r="AM41" i="17"/>
  <c r="AI41" i="17"/>
  <c r="AE41" i="17"/>
  <c r="AA41" i="17"/>
  <c r="W41" i="17"/>
  <c r="S41" i="17"/>
  <c r="O41" i="17"/>
  <c r="K41" i="17"/>
  <c r="G41" i="17"/>
  <c r="BW40" i="17"/>
  <c r="BO40" i="17"/>
  <c r="BK40" i="17"/>
  <c r="BG40" i="17"/>
  <c r="AY40" i="17"/>
  <c r="AU40" i="17"/>
  <c r="AQ40" i="17"/>
  <c r="AM40" i="17"/>
  <c r="AI40" i="17"/>
  <c r="AE40" i="17"/>
  <c r="AA40" i="17"/>
  <c r="W40" i="17"/>
  <c r="S40" i="17"/>
  <c r="O40" i="17"/>
  <c r="K40" i="17"/>
  <c r="G40" i="17"/>
  <c r="BW39" i="17"/>
  <c r="BO39" i="17"/>
  <c r="BK39" i="17"/>
  <c r="BG39" i="17"/>
  <c r="AY39" i="17"/>
  <c r="AU39" i="17"/>
  <c r="AM39" i="17"/>
  <c r="AA39" i="17"/>
  <c r="BW27" i="17"/>
  <c r="BS27" i="17"/>
  <c r="BO27" i="17"/>
  <c r="BK27" i="17"/>
  <c r="BG27" i="17"/>
  <c r="BC27" i="17"/>
  <c r="AY27" i="17"/>
  <c r="AU27" i="17"/>
  <c r="AQ27" i="17"/>
  <c r="AM27" i="17"/>
  <c r="AI27" i="17"/>
  <c r="AE27" i="17"/>
  <c r="AA27" i="17"/>
  <c r="W27" i="17"/>
  <c r="S27" i="17"/>
  <c r="O27" i="17"/>
  <c r="K27" i="17"/>
  <c r="G27" i="17"/>
  <c r="C27" i="17"/>
  <c r="BW26" i="17"/>
  <c r="BS26" i="17"/>
  <c r="BO26" i="17"/>
  <c r="BK26" i="17"/>
  <c r="BG26" i="17"/>
  <c r="BC26" i="17"/>
  <c r="AY26" i="17"/>
  <c r="AU26" i="17"/>
  <c r="AQ26" i="17"/>
  <c r="AM26" i="17"/>
  <c r="AI26" i="17"/>
  <c r="AE26" i="17"/>
  <c r="AA26" i="17"/>
  <c r="W26" i="17"/>
  <c r="S26" i="17"/>
  <c r="O26" i="17"/>
  <c r="K26" i="17"/>
  <c r="G26" i="17"/>
  <c r="C26" i="17"/>
  <c r="BW25" i="17"/>
  <c r="BS25" i="17"/>
  <c r="BO25" i="17"/>
  <c r="BK25" i="17"/>
  <c r="BG25" i="17"/>
  <c r="BC25" i="17"/>
  <c r="AY25" i="17"/>
  <c r="AU25" i="17"/>
  <c r="AQ25" i="17"/>
  <c r="AM25" i="17"/>
  <c r="AI25" i="17"/>
  <c r="AE25" i="17"/>
  <c r="AA25" i="17"/>
  <c r="W25" i="17"/>
  <c r="S25" i="17"/>
  <c r="O25" i="17"/>
  <c r="K25" i="17"/>
  <c r="G25" i="17"/>
  <c r="G68" i="17"/>
  <c r="F155" i="1"/>
  <c r="F151" i="1"/>
  <c r="F143" i="1"/>
  <c r="F136" i="1"/>
  <c r="C82" i="18"/>
  <c r="C84" i="18"/>
  <c r="C80" i="18"/>
  <c r="G72" i="18"/>
  <c r="C71" i="18"/>
  <c r="C83" i="18"/>
  <c r="C70" i="18"/>
  <c r="G71" i="18"/>
  <c r="C74" i="18"/>
  <c r="C73" i="18"/>
  <c r="G80" i="18"/>
  <c r="G73" i="18"/>
  <c r="G74" i="18"/>
  <c r="C72" i="18"/>
  <c r="G70" i="18"/>
  <c r="G82" i="18"/>
  <c r="G83" i="18"/>
  <c r="G79" i="18"/>
  <c r="C79" i="18"/>
  <c r="G84" i="18"/>
  <c r="K84" i="17"/>
  <c r="H60" i="3" l="1"/>
  <c r="G61" i="3"/>
  <c r="E73" i="14" s="1"/>
  <c r="G60" i="3"/>
  <c r="C31" i="17"/>
  <c r="C32" i="17" s="1"/>
  <c r="AA31" i="17"/>
  <c r="AA32" i="17" s="1"/>
  <c r="AA33" i="17" s="1"/>
  <c r="C68" i="17"/>
  <c r="W31" i="17"/>
  <c r="W32" i="17" s="1"/>
  <c r="W33" i="17" s="1"/>
  <c r="BG31" i="17"/>
  <c r="BG32" i="17" s="1"/>
  <c r="BG33" i="17" s="1"/>
  <c r="BC31" i="17"/>
  <c r="BC32" i="17" s="1"/>
  <c r="BC33" i="17" s="1"/>
  <c r="C31" i="18"/>
  <c r="C32" i="18" s="1"/>
  <c r="S31" i="18"/>
  <c r="S32" i="18" s="1"/>
  <c r="S33" i="18" s="1"/>
  <c r="AI31" i="18"/>
  <c r="AI32" i="18" s="1"/>
  <c r="AI33" i="18" s="1"/>
  <c r="K31" i="18"/>
  <c r="K32" i="18" s="1"/>
  <c r="K33" i="18" s="1"/>
  <c r="AA31" i="18"/>
  <c r="AA32" i="18" s="1"/>
  <c r="AA33" i="18" s="1"/>
  <c r="O31" i="18"/>
  <c r="O32" i="18" s="1"/>
  <c r="O33" i="18" s="1"/>
  <c r="AE31" i="18"/>
  <c r="AE32" i="18" s="1"/>
  <c r="G31" i="18"/>
  <c r="G32" i="18" s="1"/>
  <c r="G33" i="18" s="1"/>
  <c r="W31" i="18"/>
  <c r="W32" i="18" s="1"/>
  <c r="W33" i="18" s="1"/>
  <c r="AM31" i="18"/>
  <c r="AM32" i="18" s="1"/>
  <c r="AM33" i="18" s="1"/>
  <c r="BO31" i="17"/>
  <c r="BO32" i="17" s="1"/>
  <c r="BO33" i="17" s="1"/>
  <c r="AY31" i="17"/>
  <c r="AY32" i="17" s="1"/>
  <c r="AY33" i="17" s="1"/>
  <c r="AI31" i="17"/>
  <c r="AI32" i="17" s="1"/>
  <c r="AI33" i="17" s="1"/>
  <c r="S31" i="17"/>
  <c r="S32" i="17" s="1"/>
  <c r="S33" i="17" s="1"/>
  <c r="K67" i="17"/>
  <c r="G31" i="17"/>
  <c r="G32" i="17" s="1"/>
  <c r="G33" i="17" s="1"/>
  <c r="AM31" i="17"/>
  <c r="AM32" i="17" s="1"/>
  <c r="AM33" i="17" s="1"/>
  <c r="BS31" i="17"/>
  <c r="BS32" i="17" s="1"/>
  <c r="BS33" i="17" s="1"/>
  <c r="O31" i="17"/>
  <c r="O32" i="17" s="1"/>
  <c r="O33" i="17" s="1"/>
  <c r="AE31" i="17"/>
  <c r="AE32" i="17" s="1"/>
  <c r="AE33" i="17" s="1"/>
  <c r="AU31" i="17"/>
  <c r="AU32" i="17" s="1"/>
  <c r="AU33" i="17" s="1"/>
  <c r="BK31" i="17"/>
  <c r="BK32" i="17" s="1"/>
  <c r="BK33" i="17" s="1"/>
  <c r="K31" i="17"/>
  <c r="K32" i="17" s="1"/>
  <c r="K33" i="17" s="1"/>
  <c r="AQ31" i="17"/>
  <c r="AQ32" i="17" s="1"/>
  <c r="AQ33" i="17" s="1"/>
  <c r="BW31" i="17"/>
  <c r="BW32" i="17" s="1"/>
  <c r="BW33" i="17" s="1"/>
  <c r="K82" i="17"/>
  <c r="K70" i="17"/>
  <c r="K73" i="17"/>
  <c r="K83" i="17"/>
  <c r="K80" i="17"/>
  <c r="K79" i="17"/>
  <c r="K74" i="17"/>
  <c r="C77" i="18"/>
  <c r="K77" i="17"/>
  <c r="K72" i="17"/>
  <c r="K71" i="17"/>
  <c r="G77" i="18"/>
  <c r="F64" i="1" l="1"/>
  <c r="H64" i="1"/>
  <c r="C33" i="18"/>
  <c r="C34" i="18" s="1"/>
  <c r="C33" i="17"/>
  <c r="AE33" i="18"/>
  <c r="AE34" i="18" s="1"/>
  <c r="BC59" i="1"/>
  <c r="W34" i="18"/>
  <c r="W58" i="18" s="1"/>
  <c r="BW34" i="17"/>
  <c r="BW58" i="17" s="1"/>
  <c r="AV71" i="1"/>
  <c r="AQ34" i="17"/>
  <c r="AQ58" i="17" s="1"/>
  <c r="AV58" i="1"/>
  <c r="S34" i="17"/>
  <c r="S58" i="17" s="1"/>
  <c r="AV55" i="1"/>
  <c r="K34" i="17"/>
  <c r="K58" i="17" s="1"/>
  <c r="AV56" i="1"/>
  <c r="BK34" i="17"/>
  <c r="BK58" i="17" s="1"/>
  <c r="AV67" i="1"/>
  <c r="BS34" i="17"/>
  <c r="BS58" i="17" s="1"/>
  <c r="AV70" i="1"/>
  <c r="BG34" i="17"/>
  <c r="BG58" i="17" s="1"/>
  <c r="AV65" i="1"/>
  <c r="AE34" i="17"/>
  <c r="AE58" i="17" s="1"/>
  <c r="AV63" i="1"/>
  <c r="AI34" i="17"/>
  <c r="AI58" i="17" s="1"/>
  <c r="AV59" i="1"/>
  <c r="W34" i="17"/>
  <c r="W58" i="17" s="1"/>
  <c r="AV57" i="1"/>
  <c r="BO34" i="17"/>
  <c r="BO58" i="17" s="1"/>
  <c r="AV69" i="1"/>
  <c r="AU34" i="17"/>
  <c r="AU58" i="17" s="1"/>
  <c r="AV64" i="1"/>
  <c r="AM34" i="17"/>
  <c r="AM58" i="17" s="1"/>
  <c r="AV62" i="1"/>
  <c r="AA34" i="17"/>
  <c r="AA58" i="17" s="1"/>
  <c r="AV61" i="1"/>
  <c r="G34" i="17"/>
  <c r="G58" i="17" s="1"/>
  <c r="AV54" i="1"/>
  <c r="BC34" i="17"/>
  <c r="BC58" i="17" s="1"/>
  <c r="AV66" i="1"/>
  <c r="AY34" i="17"/>
  <c r="AY58" i="17" s="1"/>
  <c r="AV68" i="1"/>
  <c r="O34" i="17"/>
  <c r="O58" i="17" s="1"/>
  <c r="AV60" i="1"/>
  <c r="BC62" i="1"/>
  <c r="AM34" i="18"/>
  <c r="AM58" i="18" s="1"/>
  <c r="BC63" i="1"/>
  <c r="AI34" i="18"/>
  <c r="AI58" i="18" s="1"/>
  <c r="AA34" i="18"/>
  <c r="AA58" i="18" s="1"/>
  <c r="BC60" i="1"/>
  <c r="BC57" i="1"/>
  <c r="S34" i="18"/>
  <c r="S58" i="18" s="1"/>
  <c r="BC55" i="1"/>
  <c r="G34" i="18"/>
  <c r="G58" i="18" s="1"/>
  <c r="BC56" i="1"/>
  <c r="O34" i="18"/>
  <c r="O58" i="18" s="1"/>
  <c r="K34" i="18"/>
  <c r="K58" i="18" s="1"/>
  <c r="BC58" i="1"/>
  <c r="G82" i="17"/>
  <c r="G76" i="18"/>
  <c r="G79" i="17"/>
  <c r="C78" i="17"/>
  <c r="G77" i="17"/>
  <c r="G73" i="17"/>
  <c r="C80" i="17"/>
  <c r="C76" i="17"/>
  <c r="K76" i="17"/>
  <c r="C73" i="17"/>
  <c r="G74" i="17"/>
  <c r="C76" i="18"/>
  <c r="C72" i="17"/>
  <c r="G84" i="17"/>
  <c r="G78" i="18"/>
  <c r="C83" i="17"/>
  <c r="C77" i="17"/>
  <c r="C74" i="17"/>
  <c r="C84" i="17"/>
  <c r="G83" i="17"/>
  <c r="C82" i="17"/>
  <c r="C71" i="17"/>
  <c r="G76" i="17"/>
  <c r="G70" i="17"/>
  <c r="G80" i="17"/>
  <c r="C78" i="18"/>
  <c r="C79" i="17"/>
  <c r="G72" i="17"/>
  <c r="C70" i="17"/>
  <c r="G78" i="17"/>
  <c r="G71" i="17"/>
  <c r="F60" i="1" l="1"/>
  <c r="F69" i="1"/>
  <c r="G64" i="1"/>
  <c r="F55" i="1"/>
  <c r="F59" i="1"/>
  <c r="F68" i="1"/>
  <c r="G60" i="1"/>
  <c r="G56" i="1"/>
  <c r="G69" i="1"/>
  <c r="G59" i="1"/>
  <c r="F56" i="1"/>
  <c r="G68" i="1"/>
  <c r="G55" i="1"/>
  <c r="G57" i="1"/>
  <c r="G61" i="1"/>
  <c r="F57" i="1"/>
  <c r="F61" i="1"/>
  <c r="G58" i="1"/>
  <c r="F58" i="1"/>
  <c r="BC61" i="1"/>
  <c r="BC54" i="1"/>
  <c r="F65" i="1"/>
  <c r="G65" i="1"/>
  <c r="F66" i="1"/>
  <c r="G66" i="1"/>
  <c r="H75" i="7" s="1"/>
  <c r="E69" i="14" s="1"/>
  <c r="H65" i="1"/>
  <c r="C58" i="18"/>
  <c r="AE58" i="18"/>
  <c r="C34" i="17"/>
  <c r="F133" i="1"/>
  <c r="F134" i="1"/>
  <c r="F149" i="1"/>
  <c r="F148" i="1"/>
  <c r="F147" i="1"/>
  <c r="K78" i="17"/>
  <c r="F70" i="1" l="1"/>
  <c r="G70" i="1"/>
  <c r="F153" i="1"/>
  <c r="G28" i="3"/>
  <c r="F54" i="7"/>
  <c r="F25" i="3"/>
  <c r="C6" i="7"/>
  <c r="J19" i="14"/>
  <c r="F29" i="3"/>
  <c r="C7" i="7"/>
  <c r="C27" i="7" s="1"/>
  <c r="G25" i="3"/>
  <c r="C54" i="7"/>
  <c r="G26" i="3"/>
  <c r="D54" i="7"/>
  <c r="F28" i="3"/>
  <c r="F6" i="7"/>
  <c r="G24" i="3"/>
  <c r="B54" i="7"/>
  <c r="G27" i="3"/>
  <c r="E54" i="7"/>
  <c r="F26" i="3"/>
  <c r="D6" i="7"/>
  <c r="F24" i="3"/>
  <c r="B6" i="7"/>
  <c r="J68" i="14"/>
  <c r="G29" i="3"/>
  <c r="C55" i="7"/>
  <c r="H77" i="7" s="1"/>
  <c r="F27" i="3"/>
  <c r="E6" i="7"/>
  <c r="H66" i="1"/>
  <c r="C58" i="17"/>
  <c r="AP58" i="1"/>
  <c r="AP59" i="1"/>
  <c r="AP60" i="1"/>
  <c r="AP61" i="1"/>
  <c r="AP62" i="1"/>
  <c r="AP63" i="1"/>
  <c r="AP57" i="1"/>
  <c r="C123" i="7" l="1"/>
  <c r="H123" i="7"/>
  <c r="L26" i="3"/>
  <c r="K26" i="3"/>
  <c r="C84" i="7"/>
  <c r="J75" i="14" s="1"/>
  <c r="K27" i="3"/>
  <c r="K25" i="3"/>
  <c r="L27" i="3"/>
  <c r="K24" i="3"/>
  <c r="K28" i="3"/>
  <c r="E84" i="7"/>
  <c r="L24" i="3"/>
  <c r="L25" i="3"/>
  <c r="L28" i="3"/>
  <c r="C75" i="7"/>
  <c r="F84" i="7"/>
  <c r="D84" i="7"/>
  <c r="M24" i="3"/>
  <c r="M25" i="3"/>
  <c r="M26" i="3"/>
  <c r="M27" i="3"/>
  <c r="M28" i="3"/>
  <c r="G138" i="3"/>
  <c r="F138" i="3"/>
  <c r="F137" i="3"/>
  <c r="C11" i="7"/>
  <c r="H11" i="7"/>
  <c r="H26" i="7"/>
  <c r="H27" i="7" s="1"/>
  <c r="H29" i="7" s="1"/>
  <c r="E118" i="14" l="1"/>
  <c r="H125" i="7"/>
  <c r="C83" i="7"/>
  <c r="J74" i="14" s="1"/>
  <c r="L75" i="14"/>
  <c r="E83" i="7"/>
  <c r="L74" i="14" s="1"/>
  <c r="K75" i="14"/>
  <c r="D83" i="7"/>
  <c r="K74" i="14" s="1"/>
  <c r="M75" i="14"/>
  <c r="F83" i="7"/>
  <c r="M74" i="14" s="1"/>
  <c r="E22" i="14"/>
  <c r="F142" i="1" l="1"/>
  <c r="F141" i="1"/>
  <c r="F126" i="1" l="1"/>
  <c r="F127" i="1" s="1"/>
  <c r="F32" i="3" l="1"/>
  <c r="J105" i="3"/>
  <c r="G135" i="3" l="1"/>
  <c r="F134" i="3"/>
  <c r="G139" i="3"/>
  <c r="G136" i="3"/>
  <c r="G134" i="3"/>
  <c r="G126" i="3"/>
  <c r="G127" i="3" s="1"/>
  <c r="F109" i="1" s="1"/>
  <c r="F135" i="3"/>
  <c r="G137" i="3"/>
  <c r="F139" i="3"/>
  <c r="F136" i="3"/>
  <c r="G133" i="3"/>
  <c r="G130" i="3"/>
  <c r="G129" i="3"/>
  <c r="G128" i="3"/>
  <c r="F133" i="3"/>
  <c r="F117" i="1" s="1"/>
  <c r="F132" i="3"/>
  <c r="G132" i="3"/>
  <c r="G131" i="3"/>
  <c r="F131" i="3"/>
  <c r="F130" i="3"/>
  <c r="F128" i="3"/>
  <c r="F129" i="3"/>
  <c r="E30" i="14"/>
  <c r="E36" i="14" s="1"/>
  <c r="E37" i="14" s="1"/>
  <c r="E28" i="14"/>
  <c r="E27" i="14"/>
  <c r="H42" i="14" s="1"/>
  <c r="E26" i="14"/>
  <c r="E20" i="14"/>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A114" i="13"/>
  <c r="A113" i="13"/>
  <c r="A112" i="13"/>
  <c r="A111" i="13"/>
  <c r="A110" i="13"/>
  <c r="A109" i="13"/>
  <c r="A108" i="13"/>
  <c r="A107" i="13"/>
  <c r="A106" i="13"/>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Y22" i="13"/>
  <c r="Y15" i="13"/>
  <c r="Y18" i="13" s="1"/>
  <c r="R2" i="13"/>
  <c r="Q2" i="13"/>
  <c r="J2" i="13"/>
  <c r="H2" i="13"/>
  <c r="G2" i="13"/>
  <c r="F2" i="13"/>
  <c r="O212" i="3"/>
  <c r="L107" i="3"/>
  <c r="L106" i="3"/>
  <c r="L105" i="3"/>
  <c r="K107" i="3"/>
  <c r="K106" i="3"/>
  <c r="K105" i="3"/>
  <c r="J107" i="3"/>
  <c r="J106" i="3"/>
  <c r="G124" i="3"/>
  <c r="G125" i="3" s="1"/>
  <c r="F173" i="3"/>
  <c r="F172" i="3"/>
  <c r="F171" i="3"/>
  <c r="F148" i="3"/>
  <c r="F147" i="3"/>
  <c r="F124" i="3"/>
  <c r="F113" i="3"/>
  <c r="F112" i="3"/>
  <c r="M148" i="1" s="1"/>
  <c r="F111" i="3"/>
  <c r="F110" i="3"/>
  <c r="F109" i="3"/>
  <c r="M147" i="1" s="1"/>
  <c r="F108" i="3"/>
  <c r="F73" i="3"/>
  <c r="F74" i="3" s="1"/>
  <c r="F97" i="1" s="1"/>
  <c r="F71" i="3"/>
  <c r="F72" i="3" s="1"/>
  <c r="F95" i="1" s="1"/>
  <c r="F58" i="3"/>
  <c r="F56" i="3"/>
  <c r="F57" i="3" s="1"/>
  <c r="F90" i="1" s="1"/>
  <c r="F51" i="3"/>
  <c r="F48" i="3"/>
  <c r="F34" i="3"/>
  <c r="E275" i="3"/>
  <c r="E273" i="3"/>
  <c r="E6" i="3"/>
  <c r="E5" i="3"/>
  <c r="F19" i="3" s="1"/>
  <c r="E4" i="3"/>
  <c r="L18" i="6"/>
  <c r="L17" i="6"/>
  <c r="E14" i="6"/>
  <c r="N17" i="6" s="1"/>
  <c r="D26" i="6"/>
  <c r="AP38" i="1"/>
  <c r="G29" i="1"/>
  <c r="F140" i="1"/>
  <c r="F139" i="1"/>
  <c r="F138" i="1"/>
  <c r="F137" i="1"/>
  <c r="F135" i="1"/>
  <c r="F132" i="1"/>
  <c r="D2" i="13"/>
  <c r="F116" i="1" l="1"/>
  <c r="Y24" i="13"/>
  <c r="H105" i="3"/>
  <c r="N18" i="6"/>
  <c r="E38" i="14"/>
  <c r="E40" i="14" s="1"/>
  <c r="H106" i="3"/>
  <c r="G106" i="3"/>
  <c r="E33" i="14"/>
  <c r="G105" i="3"/>
  <c r="H107" i="3"/>
  <c r="G107" i="3"/>
  <c r="M18" i="6"/>
  <c r="F52" i="3"/>
  <c r="F84" i="1" s="1"/>
  <c r="F104" i="3"/>
  <c r="F106" i="3"/>
  <c r="F100" i="1" s="1"/>
  <c r="M142" i="1" s="1"/>
  <c r="F103" i="3"/>
  <c r="F99" i="1" s="1"/>
  <c r="M140" i="1" s="1"/>
  <c r="F107" i="3"/>
  <c r="F102" i="3"/>
  <c r="F105" i="3"/>
  <c r="M17" i="6"/>
  <c r="F36" i="7"/>
  <c r="F35" i="7" s="1"/>
  <c r="D36" i="7"/>
  <c r="D35" i="7" s="1"/>
  <c r="C36" i="7"/>
  <c r="C35" i="7" s="1"/>
  <c r="U259" i="3"/>
  <c r="S261" i="3"/>
  <c r="T262" i="3"/>
  <c r="U263" i="3"/>
  <c r="S265" i="3"/>
  <c r="T266" i="3"/>
  <c r="U267" i="3"/>
  <c r="T261" i="3"/>
  <c r="S264" i="3"/>
  <c r="T265" i="3"/>
  <c r="S268" i="3"/>
  <c r="S259" i="3"/>
  <c r="U261" i="3"/>
  <c r="T264" i="3"/>
  <c r="U265" i="3"/>
  <c r="T268" i="3"/>
  <c r="U260" i="3"/>
  <c r="S262" i="3"/>
  <c r="U264" i="3"/>
  <c r="S266" i="3"/>
  <c r="U268" i="3"/>
  <c r="S260" i="3"/>
  <c r="U262" i="3"/>
  <c r="U266" i="3"/>
  <c r="T260" i="3"/>
  <c r="S263" i="3"/>
  <c r="S267" i="3"/>
  <c r="T259" i="3"/>
  <c r="T263" i="3"/>
  <c r="T267" i="3"/>
  <c r="F106" i="1"/>
  <c r="F131" i="1"/>
  <c r="F149" i="3"/>
  <c r="H43" i="14"/>
  <c r="C113" i="13"/>
  <c r="C87" i="13"/>
  <c r="C114" i="13"/>
  <c r="F130" i="1"/>
  <c r="G42" i="14"/>
  <c r="G43" i="14" s="1"/>
  <c r="C111" i="13"/>
  <c r="C112" i="13"/>
  <c r="F42" i="14"/>
  <c r="F43" i="14" s="1"/>
  <c r="C10" i="13"/>
  <c r="C22" i="13"/>
  <c r="C34" i="13"/>
  <c r="C50" i="13"/>
  <c r="C78" i="13"/>
  <c r="C82" i="13"/>
  <c r="C86" i="13"/>
  <c r="C98" i="13"/>
  <c r="I42" i="14"/>
  <c r="I43" i="14" s="1"/>
  <c r="C80" i="13"/>
  <c r="F126" i="3"/>
  <c r="F125" i="3" s="1"/>
  <c r="F107" i="1" s="1"/>
  <c r="F59" i="3"/>
  <c r="F61" i="3" s="1"/>
  <c r="E117" i="1"/>
  <c r="M144" i="1" s="1"/>
  <c r="E116" i="1"/>
  <c r="M143" i="1" s="1"/>
  <c r="D119" i="1"/>
  <c r="E119" i="1"/>
  <c r="M146" i="1" s="1"/>
  <c r="F119" i="1"/>
  <c r="D117" i="1"/>
  <c r="E118" i="1"/>
  <c r="M145" i="1" s="1"/>
  <c r="F118" i="1"/>
  <c r="D118" i="1"/>
  <c r="D116" i="1"/>
  <c r="Q17" i="6"/>
  <c r="F9" i="3"/>
  <c r="F33" i="1" s="1"/>
  <c r="AQ55" i="1"/>
  <c r="C110" i="13"/>
  <c r="C95" i="13"/>
  <c r="C79" i="13"/>
  <c r="C63" i="13"/>
  <c r="C47" i="13"/>
  <c r="C31" i="13"/>
  <c r="C107" i="13"/>
  <c r="C99" i="13"/>
  <c r="C71" i="13"/>
  <c r="C43" i="13"/>
  <c r="C35" i="13"/>
  <c r="C11" i="13"/>
  <c r="C91" i="13"/>
  <c r="C83" i="13"/>
  <c r="C55" i="13"/>
  <c r="C27" i="13"/>
  <c r="C15" i="13"/>
  <c r="C103" i="13"/>
  <c r="C96" i="13"/>
  <c r="C88" i="13"/>
  <c r="C75" i="13"/>
  <c r="C67" i="13"/>
  <c r="C60" i="13"/>
  <c r="C39" i="13"/>
  <c r="C32" i="13"/>
  <c r="C24" i="13"/>
  <c r="C19" i="13"/>
  <c r="C94" i="13"/>
  <c r="C66" i="13"/>
  <c r="C38" i="13"/>
  <c r="C12" i="13"/>
  <c r="C102" i="13"/>
  <c r="C59" i="13"/>
  <c r="C23" i="13"/>
  <c r="C108" i="13"/>
  <c r="C72" i="13"/>
  <c r="C30" i="13"/>
  <c r="C51" i="13"/>
  <c r="C44" i="13"/>
  <c r="C18" i="13"/>
  <c r="C13" i="13"/>
  <c r="C17" i="13"/>
  <c r="C21" i="13"/>
  <c r="C25" i="13"/>
  <c r="C29" i="13"/>
  <c r="C33" i="13"/>
  <c r="C37" i="13"/>
  <c r="C41" i="13"/>
  <c r="C45" i="13"/>
  <c r="C49" i="13"/>
  <c r="C53" i="13"/>
  <c r="C57" i="13"/>
  <c r="C61" i="13"/>
  <c r="C65" i="13"/>
  <c r="C69" i="13"/>
  <c r="C73" i="13"/>
  <c r="C77" i="13"/>
  <c r="C81" i="13"/>
  <c r="C85" i="13"/>
  <c r="C89" i="13"/>
  <c r="C93" i="13"/>
  <c r="C97" i="13"/>
  <c r="C101" i="13"/>
  <c r="C105" i="13"/>
  <c r="C109" i="13"/>
  <c r="C16" i="13"/>
  <c r="C20" i="13"/>
  <c r="C28" i="13"/>
  <c r="C40" i="13"/>
  <c r="C48" i="13"/>
  <c r="C56" i="13"/>
  <c r="C64" i="13"/>
  <c r="C76" i="13"/>
  <c r="C92" i="13"/>
  <c r="C104" i="13"/>
  <c r="C26" i="13"/>
  <c r="C42" i="13"/>
  <c r="C58" i="13"/>
  <c r="C74" i="13"/>
  <c r="C90" i="13"/>
  <c r="C106" i="13"/>
  <c r="C14" i="13"/>
  <c r="C46" i="13"/>
  <c r="C54" i="13"/>
  <c r="C62" i="13"/>
  <c r="C70" i="13"/>
  <c r="E60" i="14"/>
  <c r="C36" i="13"/>
  <c r="C52" i="13"/>
  <c r="C68" i="13"/>
  <c r="C84" i="13"/>
  <c r="C100" i="13"/>
  <c r="E42" i="14"/>
  <c r="E43" i="14" s="1"/>
  <c r="X42" i="14"/>
  <c r="X43" i="14" s="1"/>
  <c r="W42" i="14"/>
  <c r="W43" i="14" s="1"/>
  <c r="V42" i="14"/>
  <c r="V43" i="14" s="1"/>
  <c r="U42" i="14"/>
  <c r="U43" i="14" s="1"/>
  <c r="T42" i="14"/>
  <c r="T43" i="14" s="1"/>
  <c r="S42" i="14"/>
  <c r="S43" i="14" s="1"/>
  <c r="R42" i="14"/>
  <c r="R43" i="14" s="1"/>
  <c r="Q42" i="14"/>
  <c r="Q43" i="14" s="1"/>
  <c r="P42" i="14"/>
  <c r="P43" i="14" s="1"/>
  <c r="O42" i="14"/>
  <c r="O43" i="14" s="1"/>
  <c r="N42" i="14"/>
  <c r="N43" i="14" s="1"/>
  <c r="M42" i="14"/>
  <c r="M43" i="14" s="1"/>
  <c r="K42" i="14"/>
  <c r="K43" i="14" s="1"/>
  <c r="J42" i="14"/>
  <c r="J43" i="14" s="1"/>
  <c r="L42" i="14"/>
  <c r="L43" i="14" s="1"/>
  <c r="E41" i="14" l="1"/>
  <c r="E45" i="14" s="1"/>
  <c r="F36" i="14"/>
  <c r="F38" i="14" s="1"/>
  <c r="F41" i="14" s="1"/>
  <c r="F85" i="14"/>
  <c r="F134" i="14"/>
  <c r="C106" i="7"/>
  <c r="C108" i="7" s="1"/>
  <c r="C58" i="7"/>
  <c r="C60" i="7" s="1"/>
  <c r="C10" i="7"/>
  <c r="C12" i="7" s="1"/>
  <c r="M141" i="1"/>
  <c r="E36" i="7"/>
  <c r="E35" i="7" s="1"/>
  <c r="J26" i="14"/>
  <c r="E24" i="14"/>
  <c r="K26" i="14"/>
  <c r="J25" i="14"/>
  <c r="F92" i="1"/>
  <c r="F60" i="3"/>
  <c r="P97" i="13" s="1"/>
  <c r="K25" i="14"/>
  <c r="F108" i="1"/>
  <c r="F12" i="3"/>
  <c r="F20" i="3" s="1"/>
  <c r="M138" i="1" s="1"/>
  <c r="F10" i="3"/>
  <c r="F36" i="1" s="1"/>
  <c r="G134" i="14" l="1"/>
  <c r="F136" i="14"/>
  <c r="F135" i="14"/>
  <c r="F87" i="14"/>
  <c r="G85" i="14"/>
  <c r="F86" i="14"/>
  <c r="F37" i="14"/>
  <c r="G36" i="14"/>
  <c r="F40" i="14"/>
  <c r="F45" i="14" s="1"/>
  <c r="C61" i="7"/>
  <c r="C62" i="7"/>
  <c r="C64" i="7"/>
  <c r="C110" i="7"/>
  <c r="C112" i="7"/>
  <c r="C109" i="7"/>
  <c r="C13" i="7"/>
  <c r="C16" i="7"/>
  <c r="C14" i="7"/>
  <c r="L25" i="14"/>
  <c r="L26" i="14"/>
  <c r="F31" i="3"/>
  <c r="F48" i="1" s="1"/>
  <c r="F35" i="3"/>
  <c r="P90" i="13"/>
  <c r="P89" i="13"/>
  <c r="Q55" i="13"/>
  <c r="F54" i="13"/>
  <c r="Q34" i="13"/>
  <c r="P18" i="13"/>
  <c r="P102" i="13"/>
  <c r="Q23" i="13"/>
  <c r="F74" i="13"/>
  <c r="Q61" i="13"/>
  <c r="P87" i="13"/>
  <c r="Q88" i="13"/>
  <c r="P83" i="13"/>
  <c r="P80" i="13"/>
  <c r="Q16" i="13"/>
  <c r="F80" i="13"/>
  <c r="Q12" i="13"/>
  <c r="Q89" i="13"/>
  <c r="Q78" i="13"/>
  <c r="P49" i="13"/>
  <c r="P111" i="13"/>
  <c r="P100" i="13"/>
  <c r="F85" i="13"/>
  <c r="F64" i="13"/>
  <c r="F34" i="13"/>
  <c r="Q26" i="13"/>
  <c r="F59" i="13"/>
  <c r="Q85" i="13"/>
  <c r="F48" i="13"/>
  <c r="F21" i="13"/>
  <c r="F25" i="13"/>
  <c r="F77" i="13"/>
  <c r="P45" i="13"/>
  <c r="F91" i="13"/>
  <c r="Q43" i="13"/>
  <c r="P61" i="13"/>
  <c r="P76" i="13"/>
  <c r="Q110" i="13"/>
  <c r="P23" i="13"/>
  <c r="Q84" i="13"/>
  <c r="P77" i="13"/>
  <c r="P36" i="13"/>
  <c r="F33" i="13"/>
  <c r="F29" i="13"/>
  <c r="F46" i="13"/>
  <c r="F13" i="13"/>
  <c r="F52" i="13"/>
  <c r="F18" i="13"/>
  <c r="F98" i="13"/>
  <c r="P39" i="13"/>
  <c r="P82" i="13"/>
  <c r="F43" i="13"/>
  <c r="F107" i="13"/>
  <c r="Q74" i="13"/>
  <c r="Q83" i="13"/>
  <c r="Q41" i="13"/>
  <c r="Q99" i="13"/>
  <c r="P16" i="13"/>
  <c r="Q67" i="13"/>
  <c r="F41" i="13"/>
  <c r="F23" i="13"/>
  <c r="P106" i="13"/>
  <c r="F102" i="13"/>
  <c r="P67" i="13"/>
  <c r="F108" i="13"/>
  <c r="F56" i="13"/>
  <c r="P94" i="13"/>
  <c r="Q109" i="13"/>
  <c r="Q49" i="13"/>
  <c r="F75" i="13"/>
  <c r="Q48" i="13"/>
  <c r="Q114" i="13"/>
  <c r="Q32" i="13"/>
  <c r="Q92" i="13"/>
  <c r="Q15" i="13"/>
  <c r="Q71" i="13"/>
  <c r="P47" i="13"/>
  <c r="P12" i="13"/>
  <c r="Q95" i="13"/>
  <c r="Q97" i="13"/>
  <c r="P92" i="13"/>
  <c r="P54" i="13"/>
  <c r="Q87" i="13"/>
  <c r="P105" i="13"/>
  <c r="P64" i="13"/>
  <c r="Q11" i="13"/>
  <c r="Q103" i="13"/>
  <c r="P79" i="13"/>
  <c r="P20" i="13"/>
  <c r="Q100" i="13"/>
  <c r="F76" i="13"/>
  <c r="F17" i="13"/>
  <c r="F84" i="13"/>
  <c r="F100" i="13"/>
  <c r="F27" i="13"/>
  <c r="F81" i="13"/>
  <c r="Q13" i="13"/>
  <c r="F78" i="13"/>
  <c r="F31" i="13"/>
  <c r="F86" i="13"/>
  <c r="Q72" i="13"/>
  <c r="F40" i="13"/>
  <c r="F82" i="13"/>
  <c r="P37" i="13"/>
  <c r="Q80" i="13"/>
  <c r="Q44" i="13"/>
  <c r="P53" i="13"/>
  <c r="Q21" i="13"/>
  <c r="Q104" i="13"/>
  <c r="F63" i="13"/>
  <c r="F95" i="13"/>
  <c r="P109" i="13"/>
  <c r="P26" i="13"/>
  <c r="Q38" i="13"/>
  <c r="Q102" i="13"/>
  <c r="Q39" i="13"/>
  <c r="P104" i="13"/>
  <c r="Q51" i="13"/>
  <c r="P65" i="13"/>
  <c r="Q37" i="13"/>
  <c r="P28" i="13"/>
  <c r="P43" i="13"/>
  <c r="P41" i="13"/>
  <c r="Q36" i="13"/>
  <c r="P55" i="13"/>
  <c r="P69" i="13"/>
  <c r="P84" i="13"/>
  <c r="F97" i="13"/>
  <c r="F62" i="13"/>
  <c r="F105" i="13"/>
  <c r="F42" i="13"/>
  <c r="Q33" i="13"/>
  <c r="F53" i="13"/>
  <c r="F110" i="13"/>
  <c r="F24" i="13"/>
  <c r="Q70" i="13"/>
  <c r="F58" i="13"/>
  <c r="P10" i="13"/>
  <c r="F22" i="13"/>
  <c r="F61" i="13"/>
  <c r="F104" i="13"/>
  <c r="P114" i="13"/>
  <c r="P58" i="13"/>
  <c r="P15" i="13"/>
  <c r="P93" i="13"/>
  <c r="Q58" i="13"/>
  <c r="F47" i="13"/>
  <c r="F79" i="13"/>
  <c r="F111" i="13"/>
  <c r="Q56" i="13"/>
  <c r="P98" i="13"/>
  <c r="Q90" i="13"/>
  <c r="Q94" i="13"/>
  <c r="Q27" i="13"/>
  <c r="P88" i="13"/>
  <c r="Q96" i="13"/>
  <c r="F90" i="13"/>
  <c r="F69" i="13"/>
  <c r="F112" i="13"/>
  <c r="F113" i="13"/>
  <c r="F11" i="13"/>
  <c r="P11" i="13"/>
  <c r="Q46" i="13"/>
  <c r="P27" i="13"/>
  <c r="Q75" i="13"/>
  <c r="P13" i="13"/>
  <c r="P81" i="13"/>
  <c r="Q113" i="13"/>
  <c r="P60" i="13"/>
  <c r="Q20" i="13"/>
  <c r="Q30" i="13"/>
  <c r="Q31" i="13"/>
  <c r="P75" i="13"/>
  <c r="P33" i="13"/>
  <c r="Q81" i="13"/>
  <c r="Q65" i="13"/>
  <c r="P48" i="13"/>
  <c r="P112" i="13"/>
  <c r="Q62" i="13"/>
  <c r="Q47" i="13"/>
  <c r="Q91" i="13"/>
  <c r="Q25" i="13"/>
  <c r="P31" i="13"/>
  <c r="P68" i="13"/>
  <c r="Q52" i="13"/>
  <c r="P66" i="13"/>
  <c r="F12" i="13"/>
  <c r="P29" i="13"/>
  <c r="Q54" i="13"/>
  <c r="F28" i="13"/>
  <c r="F19" i="13"/>
  <c r="F70" i="13"/>
  <c r="P30" i="13"/>
  <c r="F16" i="13"/>
  <c r="F38" i="13"/>
  <c r="F68" i="13"/>
  <c r="F96" i="13"/>
  <c r="P50" i="13"/>
  <c r="Q93" i="13"/>
  <c r="F49" i="13"/>
  <c r="F106" i="13"/>
  <c r="F20" i="13"/>
  <c r="F44" i="13"/>
  <c r="F73" i="13"/>
  <c r="F101" i="13"/>
  <c r="P85" i="13"/>
  <c r="F14" i="13"/>
  <c r="F30" i="13"/>
  <c r="F50" i="13"/>
  <c r="F72" i="13"/>
  <c r="F93" i="13"/>
  <c r="F114" i="13"/>
  <c r="P74" i="13"/>
  <c r="Q42" i="13"/>
  <c r="P21" i="13"/>
  <c r="P95" i="13"/>
  <c r="Q82" i="13"/>
  <c r="P35" i="13"/>
  <c r="P73" i="13"/>
  <c r="P110" i="13"/>
  <c r="Q40" i="13"/>
  <c r="Q77" i="13"/>
  <c r="F39" i="13"/>
  <c r="F55" i="13"/>
  <c r="F71" i="13"/>
  <c r="F87" i="13"/>
  <c r="F103" i="13"/>
  <c r="P42" i="13"/>
  <c r="Q28" i="13"/>
  <c r="Q98" i="13"/>
  <c r="P62" i="13"/>
  <c r="Q24" i="13"/>
  <c r="Q66" i="13"/>
  <c r="Q86" i="13"/>
  <c r="Q68" i="13"/>
  <c r="Q107" i="13"/>
  <c r="P24" i="13"/>
  <c r="Q14" i="13"/>
  <c r="Q19" i="13"/>
  <c r="P59" i="13"/>
  <c r="P107" i="13"/>
  <c r="Q73" i="13"/>
  <c r="Q105" i="13"/>
  <c r="P44" i="13"/>
  <c r="P108" i="13"/>
  <c r="P19" i="13"/>
  <c r="Q63" i="13"/>
  <c r="Q111" i="13"/>
  <c r="Q57" i="13"/>
  <c r="P71" i="13"/>
  <c r="P32" i="13"/>
  <c r="P96" i="13"/>
  <c r="P38" i="13"/>
  <c r="Q35" i="13"/>
  <c r="Q79" i="13"/>
  <c r="P17" i="13"/>
  <c r="Q101" i="13"/>
  <c r="P52" i="13"/>
  <c r="P22" i="13"/>
  <c r="P103" i="13"/>
  <c r="F57" i="13"/>
  <c r="F32" i="13"/>
  <c r="F60" i="13"/>
  <c r="F89" i="13"/>
  <c r="Q50" i="13"/>
  <c r="F36" i="13"/>
  <c r="F92" i="13"/>
  <c r="F15" i="13"/>
  <c r="F37" i="13"/>
  <c r="F65" i="13"/>
  <c r="F94" i="13"/>
  <c r="P46" i="13"/>
  <c r="F10" i="13"/>
  <c r="F26" i="13"/>
  <c r="F45" i="13"/>
  <c r="F66" i="13"/>
  <c r="F88" i="13"/>
  <c r="F109" i="13"/>
  <c r="P57" i="13"/>
  <c r="Q22" i="13"/>
  <c r="Q106" i="13"/>
  <c r="P78" i="13"/>
  <c r="Q64" i="13"/>
  <c r="P25" i="13"/>
  <c r="P63" i="13"/>
  <c r="P101" i="13"/>
  <c r="Q29" i="13"/>
  <c r="Q69" i="13"/>
  <c r="F35" i="13"/>
  <c r="F51" i="13"/>
  <c r="F67" i="13"/>
  <c r="F83" i="13"/>
  <c r="F99" i="13"/>
  <c r="P14" i="13"/>
  <c r="Q18" i="13"/>
  <c r="Q76" i="13"/>
  <c r="P34" i="13"/>
  <c r="Q10" i="13"/>
  <c r="Q60" i="13"/>
  <c r="Q112" i="13"/>
  <c r="Q108" i="13"/>
  <c r="P72" i="13"/>
  <c r="Q53" i="13"/>
  <c r="P70" i="13"/>
  <c r="P91" i="13"/>
  <c r="P51" i="13"/>
  <c r="P56" i="13"/>
  <c r="P99" i="13"/>
  <c r="P86" i="13"/>
  <c r="Q59" i="13"/>
  <c r="Q17" i="13"/>
  <c r="Q45" i="13"/>
  <c r="P113" i="13"/>
  <c r="P40" i="13"/>
  <c r="F11" i="3"/>
  <c r="F37" i="1" s="1"/>
  <c r="O207" i="3"/>
  <c r="I2" i="13"/>
  <c r="F15" i="3"/>
  <c r="E274" i="3"/>
  <c r="F40" i="1"/>
  <c r="F14" i="3"/>
  <c r="F33" i="3"/>
  <c r="F50" i="1" s="1"/>
  <c r="F13" i="3"/>
  <c r="G38" i="14" l="1"/>
  <c r="H36" i="14"/>
  <c r="G37" i="14"/>
  <c r="F90" i="14"/>
  <c r="F89" i="14"/>
  <c r="F139" i="14"/>
  <c r="F138" i="14"/>
  <c r="G86" i="14"/>
  <c r="H85" i="14"/>
  <c r="G87" i="14"/>
  <c r="G136" i="14"/>
  <c r="H134" i="14"/>
  <c r="G135" i="14"/>
  <c r="C63" i="7"/>
  <c r="C65" i="7"/>
  <c r="C113" i="7"/>
  <c r="C111" i="7"/>
  <c r="C15" i="7"/>
  <c r="C17" i="7"/>
  <c r="M25" i="14"/>
  <c r="M26" i="14"/>
  <c r="O210" i="3"/>
  <c r="O208" i="3"/>
  <c r="O209" i="3"/>
  <c r="O211" i="3"/>
  <c r="Q6" i="13"/>
  <c r="Q5" i="13"/>
  <c r="O197" i="3"/>
  <c r="O202" i="3"/>
  <c r="O193" i="3"/>
  <c r="F176" i="3"/>
  <c r="F42" i="1"/>
  <c r="F177" i="3"/>
  <c r="F16" i="3"/>
  <c r="F44" i="1" s="1"/>
  <c r="F43" i="1"/>
  <c r="AP55" i="1"/>
  <c r="F175" i="3"/>
  <c r="F41" i="1"/>
  <c r="F40" i="3"/>
  <c r="F52" i="1"/>
  <c r="F143" i="14" l="1"/>
  <c r="H86" i="14"/>
  <c r="H87" i="14"/>
  <c r="I85" i="14"/>
  <c r="H135" i="14"/>
  <c r="H136" i="14"/>
  <c r="I134" i="14"/>
  <c r="G139" i="14"/>
  <c r="G138" i="14"/>
  <c r="G90" i="14"/>
  <c r="G89" i="14"/>
  <c r="H38" i="14"/>
  <c r="I36" i="14"/>
  <c r="H37" i="14"/>
  <c r="F94" i="14"/>
  <c r="G40" i="14"/>
  <c r="G41" i="14"/>
  <c r="C69" i="7"/>
  <c r="C68" i="7" s="1"/>
  <c r="C70" i="7" s="1"/>
  <c r="C72" i="7" s="1"/>
  <c r="C117" i="7"/>
  <c r="C116" i="7" s="1"/>
  <c r="C118" i="7" s="1"/>
  <c r="C120" i="7" s="1"/>
  <c r="C124" i="7" s="1"/>
  <c r="C140" i="7" s="1"/>
  <c r="C21" i="7"/>
  <c r="C20" i="7" s="1"/>
  <c r="C22" i="7" s="1"/>
  <c r="C24" i="7" s="1"/>
  <c r="C28" i="7" s="1"/>
  <c r="M136" i="1"/>
  <c r="B2" i="13"/>
  <c r="D107" i="13" s="1"/>
  <c r="M137" i="1"/>
  <c r="C2" i="13"/>
  <c r="F41" i="3"/>
  <c r="F181" i="3" s="1"/>
  <c r="F180" i="3"/>
  <c r="F39" i="3"/>
  <c r="F179" i="3" s="1"/>
  <c r="O203" i="3"/>
  <c r="O199" i="3"/>
  <c r="O198" i="3"/>
  <c r="O204" i="3"/>
  <c r="O200" i="3"/>
  <c r="O206" i="3"/>
  <c r="O205" i="3"/>
  <c r="O201" i="3"/>
  <c r="O195" i="3"/>
  <c r="O196" i="3"/>
  <c r="O194" i="3"/>
  <c r="G94" i="14" l="1"/>
  <c r="G143" i="14"/>
  <c r="J134" i="14"/>
  <c r="I135" i="14"/>
  <c r="I136" i="14"/>
  <c r="H90" i="14"/>
  <c r="H89" i="14"/>
  <c r="I37" i="14"/>
  <c r="J36" i="14"/>
  <c r="I38" i="14"/>
  <c r="G45" i="14"/>
  <c r="H40" i="14"/>
  <c r="H41" i="14"/>
  <c r="J85" i="14"/>
  <c r="I86" i="14"/>
  <c r="I87" i="14"/>
  <c r="H139" i="14"/>
  <c r="H138" i="14"/>
  <c r="C76" i="7"/>
  <c r="G53" i="3" s="1"/>
  <c r="C138" i="7"/>
  <c r="C137" i="7"/>
  <c r="C139" i="7"/>
  <c r="C141" i="7"/>
  <c r="C142" i="7"/>
  <c r="H53" i="3"/>
  <c r="H75" i="3"/>
  <c r="H76" i="3" s="1"/>
  <c r="C42" i="7"/>
  <c r="C46" i="7"/>
  <c r="C43" i="7"/>
  <c r="C44" i="7"/>
  <c r="C45" i="7"/>
  <c r="X189" i="3"/>
  <c r="V268" i="3" s="1"/>
  <c r="C41" i="7"/>
  <c r="F75" i="3"/>
  <c r="F76" i="3" s="1"/>
  <c r="F53" i="3"/>
  <c r="F85" i="1" s="1"/>
  <c r="D71" i="13"/>
  <c r="E71" i="13" s="1"/>
  <c r="G71" i="13" s="1"/>
  <c r="D29" i="13"/>
  <c r="E29" i="13" s="1"/>
  <c r="G29" i="13" s="1"/>
  <c r="D88" i="13"/>
  <c r="E88" i="13" s="1"/>
  <c r="G88" i="13" s="1"/>
  <c r="D114" i="13"/>
  <c r="D89" i="13"/>
  <c r="E89" i="13" s="1"/>
  <c r="G89" i="13" s="1"/>
  <c r="D70" i="13"/>
  <c r="E70" i="13" s="1"/>
  <c r="G70" i="13" s="1"/>
  <c r="D12" i="13"/>
  <c r="E12" i="13" s="1"/>
  <c r="D69" i="13"/>
  <c r="E69" i="13" s="1"/>
  <c r="G69" i="13" s="1"/>
  <c r="D43" i="13"/>
  <c r="E43" i="13" s="1"/>
  <c r="G43" i="13" s="1"/>
  <c r="D30" i="13"/>
  <c r="E30" i="13" s="1"/>
  <c r="D77" i="13"/>
  <c r="E77" i="13" s="1"/>
  <c r="G77" i="13" s="1"/>
  <c r="D82" i="13"/>
  <c r="E82" i="13" s="1"/>
  <c r="G82" i="13" s="1"/>
  <c r="D56" i="13"/>
  <c r="E56" i="13" s="1"/>
  <c r="G56" i="13" s="1"/>
  <c r="D28" i="13"/>
  <c r="E28" i="13" s="1"/>
  <c r="D79" i="13"/>
  <c r="E79" i="13" s="1"/>
  <c r="G79" i="13" s="1"/>
  <c r="D109" i="13"/>
  <c r="E109" i="13" s="1"/>
  <c r="G109" i="13" s="1"/>
  <c r="D50" i="13"/>
  <c r="E50" i="13" s="1"/>
  <c r="G50" i="13" s="1"/>
  <c r="D90" i="13"/>
  <c r="E90" i="13" s="1"/>
  <c r="G90" i="13" s="1"/>
  <c r="D27" i="13"/>
  <c r="E27" i="13" s="1"/>
  <c r="D64" i="13"/>
  <c r="E64" i="13" s="1"/>
  <c r="G64" i="13" s="1"/>
  <c r="D57" i="13"/>
  <c r="E57" i="13" s="1"/>
  <c r="G57" i="13" s="1"/>
  <c r="D44" i="13"/>
  <c r="E44" i="13" s="1"/>
  <c r="G44" i="13" s="1"/>
  <c r="D17" i="13"/>
  <c r="E17" i="13" s="1"/>
  <c r="D62" i="13"/>
  <c r="E62" i="13" s="1"/>
  <c r="G62" i="13" s="1"/>
  <c r="D106" i="13"/>
  <c r="E106" i="13" s="1"/>
  <c r="G106" i="13" s="1"/>
  <c r="D31" i="13"/>
  <c r="E31" i="13" s="1"/>
  <c r="D72" i="13"/>
  <c r="E72" i="13" s="1"/>
  <c r="G72" i="13" s="1"/>
  <c r="D112" i="13"/>
  <c r="D81" i="13"/>
  <c r="E81" i="13" s="1"/>
  <c r="G81" i="13" s="1"/>
  <c r="D14" i="13"/>
  <c r="E14" i="13" s="1"/>
  <c r="D55" i="13"/>
  <c r="E55" i="13" s="1"/>
  <c r="G55" i="13" s="1"/>
  <c r="D10" i="13"/>
  <c r="E10" i="13" s="1"/>
  <c r="D45" i="13"/>
  <c r="E45" i="13" s="1"/>
  <c r="G45" i="13" s="1"/>
  <c r="D11" i="13"/>
  <c r="E11" i="13" s="1"/>
  <c r="D92" i="13"/>
  <c r="E92" i="13" s="1"/>
  <c r="G92" i="13" s="1"/>
  <c r="D13" i="13"/>
  <c r="E13" i="13" s="1"/>
  <c r="D34" i="13"/>
  <c r="E34" i="13" s="1"/>
  <c r="G34" i="13" s="1"/>
  <c r="D24" i="13"/>
  <c r="E24" i="13" s="1"/>
  <c r="D96" i="13"/>
  <c r="E96" i="13" s="1"/>
  <c r="G96" i="13" s="1"/>
  <c r="D25" i="13"/>
  <c r="E25" i="13" s="1"/>
  <c r="D47" i="13"/>
  <c r="E47" i="13" s="1"/>
  <c r="G47" i="13" s="1"/>
  <c r="D99" i="13"/>
  <c r="E99" i="13" s="1"/>
  <c r="G99" i="13" s="1"/>
  <c r="D36" i="13"/>
  <c r="E36" i="13" s="1"/>
  <c r="G36" i="13" s="1"/>
  <c r="D85" i="13"/>
  <c r="E85" i="13" s="1"/>
  <c r="G85" i="13" s="1"/>
  <c r="D37" i="13"/>
  <c r="E37" i="13" s="1"/>
  <c r="G37" i="13" s="1"/>
  <c r="D66" i="13"/>
  <c r="E66" i="13" s="1"/>
  <c r="G66" i="13" s="1"/>
  <c r="D98" i="13"/>
  <c r="E98" i="13" s="1"/>
  <c r="G98" i="13" s="1"/>
  <c r="D23" i="13"/>
  <c r="E23" i="13" s="1"/>
  <c r="G23" i="13" s="1"/>
  <c r="D48" i="13"/>
  <c r="E48" i="13" s="1"/>
  <c r="G48" i="13" s="1"/>
  <c r="D76" i="13"/>
  <c r="E76" i="13" s="1"/>
  <c r="G76" i="13" s="1"/>
  <c r="D108" i="13"/>
  <c r="E108" i="13" s="1"/>
  <c r="G108" i="13" s="1"/>
  <c r="D49" i="13"/>
  <c r="E49" i="13" s="1"/>
  <c r="G49" i="13" s="1"/>
  <c r="D97" i="13"/>
  <c r="E97" i="13" s="1"/>
  <c r="G97" i="13" s="1"/>
  <c r="D22" i="13"/>
  <c r="E22" i="13" s="1"/>
  <c r="D51" i="13"/>
  <c r="E51" i="13" s="1"/>
  <c r="G51" i="13" s="1"/>
  <c r="D95" i="13"/>
  <c r="E95" i="13" s="1"/>
  <c r="G95" i="13" s="1"/>
  <c r="D16" i="13"/>
  <c r="E16" i="13" s="1"/>
  <c r="D53" i="13"/>
  <c r="E53" i="13" s="1"/>
  <c r="G53" i="13" s="1"/>
  <c r="D101" i="13"/>
  <c r="E101" i="13" s="1"/>
  <c r="G101" i="13" s="1"/>
  <c r="D33" i="13"/>
  <c r="E33" i="13" s="1"/>
  <c r="G33" i="13" s="1"/>
  <c r="D54" i="13"/>
  <c r="E54" i="13" s="1"/>
  <c r="G54" i="13" s="1"/>
  <c r="D78" i="13"/>
  <c r="E78" i="13" s="1"/>
  <c r="G78" i="13" s="1"/>
  <c r="D102" i="13"/>
  <c r="E102" i="13" s="1"/>
  <c r="G102" i="13" s="1"/>
  <c r="D15" i="13"/>
  <c r="E15" i="13" s="1"/>
  <c r="D39" i="13"/>
  <c r="E39" i="13" s="1"/>
  <c r="G39" i="13" s="1"/>
  <c r="D60" i="13"/>
  <c r="E60" i="13" s="1"/>
  <c r="G60" i="13" s="1"/>
  <c r="D80" i="13"/>
  <c r="E80" i="13" s="1"/>
  <c r="G80" i="13" s="1"/>
  <c r="D104" i="13"/>
  <c r="E104" i="13" s="1"/>
  <c r="G104" i="13" s="1"/>
  <c r="D20" i="13"/>
  <c r="E20" i="13" s="1"/>
  <c r="G20" i="13" s="1"/>
  <c r="D65" i="13"/>
  <c r="E65" i="13" s="1"/>
  <c r="G65" i="13" s="1"/>
  <c r="D113" i="13"/>
  <c r="D18" i="13"/>
  <c r="E18" i="13" s="1"/>
  <c r="G18" i="13" s="1"/>
  <c r="D38" i="13"/>
  <c r="E38" i="13" s="1"/>
  <c r="G38" i="13" s="1"/>
  <c r="D63" i="13"/>
  <c r="E63" i="13" s="1"/>
  <c r="G63" i="13" s="1"/>
  <c r="D83" i="13"/>
  <c r="E83" i="13" s="1"/>
  <c r="G83" i="13" s="1"/>
  <c r="D103" i="13"/>
  <c r="E103" i="13" s="1"/>
  <c r="G103" i="13" s="1"/>
  <c r="D67" i="13"/>
  <c r="E67" i="13" s="1"/>
  <c r="G67" i="13" s="1"/>
  <c r="D87" i="13"/>
  <c r="E87" i="13" s="1"/>
  <c r="G87" i="13" s="1"/>
  <c r="D111" i="13"/>
  <c r="D32" i="13"/>
  <c r="E32" i="13" s="1"/>
  <c r="G32" i="13" s="1"/>
  <c r="D61" i="13"/>
  <c r="E61" i="13" s="1"/>
  <c r="G61" i="13" s="1"/>
  <c r="D93" i="13"/>
  <c r="E93" i="13" s="1"/>
  <c r="G93" i="13" s="1"/>
  <c r="D21" i="13"/>
  <c r="E21" i="13" s="1"/>
  <c r="G21" i="13" s="1"/>
  <c r="D41" i="13"/>
  <c r="E41" i="13" s="1"/>
  <c r="G41" i="13" s="1"/>
  <c r="D58" i="13"/>
  <c r="E58" i="13" s="1"/>
  <c r="G58" i="13" s="1"/>
  <c r="D74" i="13"/>
  <c r="E74" i="13" s="1"/>
  <c r="G74" i="13" s="1"/>
  <c r="D94" i="13"/>
  <c r="E94" i="13" s="1"/>
  <c r="G94" i="13" s="1"/>
  <c r="D110" i="13"/>
  <c r="E110" i="13" s="1"/>
  <c r="G110" i="13" s="1"/>
  <c r="D19" i="13"/>
  <c r="E19" i="13" s="1"/>
  <c r="G19" i="13" s="1"/>
  <c r="D35" i="13"/>
  <c r="E35" i="13" s="1"/>
  <c r="G35" i="13" s="1"/>
  <c r="D52" i="13"/>
  <c r="E52" i="13" s="1"/>
  <c r="G52" i="13" s="1"/>
  <c r="D68" i="13"/>
  <c r="E68" i="13" s="1"/>
  <c r="G68" i="13" s="1"/>
  <c r="D84" i="13"/>
  <c r="E84" i="13" s="1"/>
  <c r="G84" i="13" s="1"/>
  <c r="D100" i="13"/>
  <c r="E100" i="13" s="1"/>
  <c r="G100" i="13" s="1"/>
  <c r="D46" i="13"/>
  <c r="E46" i="13" s="1"/>
  <c r="G46" i="13" s="1"/>
  <c r="D40" i="13"/>
  <c r="E40" i="13" s="1"/>
  <c r="G40" i="13" s="1"/>
  <c r="D73" i="13"/>
  <c r="E73" i="13" s="1"/>
  <c r="G73" i="13" s="1"/>
  <c r="D105" i="13"/>
  <c r="E105" i="13" s="1"/>
  <c r="G105" i="13" s="1"/>
  <c r="D86" i="13"/>
  <c r="E86" i="13" s="1"/>
  <c r="G86" i="13" s="1"/>
  <c r="D26" i="13"/>
  <c r="E26" i="13" s="1"/>
  <c r="G26" i="13" s="1"/>
  <c r="D42" i="13"/>
  <c r="E42" i="13" s="1"/>
  <c r="G42" i="13" s="1"/>
  <c r="D59" i="13"/>
  <c r="E59" i="13" s="1"/>
  <c r="G59" i="13" s="1"/>
  <c r="D75" i="13"/>
  <c r="E75" i="13" s="1"/>
  <c r="G75" i="13" s="1"/>
  <c r="D91" i="13"/>
  <c r="E91" i="13" s="1"/>
  <c r="G91" i="13" s="1"/>
  <c r="F208" i="3"/>
  <c r="F211" i="3"/>
  <c r="F216" i="3"/>
  <c r="F219" i="3"/>
  <c r="F224" i="3"/>
  <c r="F227" i="3"/>
  <c r="F232" i="3"/>
  <c r="F235" i="3"/>
  <c r="F240" i="3"/>
  <c r="F243" i="3"/>
  <c r="F248" i="3"/>
  <c r="F254" i="3"/>
  <c r="F257" i="3"/>
  <c r="F262" i="3"/>
  <c r="F265" i="3"/>
  <c r="F206" i="3"/>
  <c r="F209" i="3"/>
  <c r="F214" i="3"/>
  <c r="F217" i="3"/>
  <c r="F222" i="3"/>
  <c r="F225" i="3"/>
  <c r="F230" i="3"/>
  <c r="F233" i="3"/>
  <c r="F238" i="3"/>
  <c r="F241" i="3"/>
  <c r="F246" i="3"/>
  <c r="F249" i="3"/>
  <c r="F252" i="3"/>
  <c r="F255" i="3"/>
  <c r="F260" i="3"/>
  <c r="F263" i="3"/>
  <c r="F268" i="3"/>
  <c r="F215" i="3"/>
  <c r="F220" i="3"/>
  <c r="F231" i="3"/>
  <c r="F236" i="3"/>
  <c r="F247" i="3"/>
  <c r="F253" i="3"/>
  <c r="F258" i="3"/>
  <c r="F212" i="3"/>
  <c r="F228" i="3"/>
  <c r="F239" i="3"/>
  <c r="F250" i="3"/>
  <c r="F261" i="3"/>
  <c r="F210" i="3"/>
  <c r="F221" i="3"/>
  <c r="F226" i="3"/>
  <c r="F237" i="3"/>
  <c r="F242" i="3"/>
  <c r="F259" i="3"/>
  <c r="F264" i="3"/>
  <c r="F207" i="3"/>
  <c r="F223" i="3"/>
  <c r="F244" i="3"/>
  <c r="F266" i="3"/>
  <c r="F213" i="3"/>
  <c r="F234" i="3"/>
  <c r="F256" i="3"/>
  <c r="F251" i="3"/>
  <c r="F218" i="3"/>
  <c r="F245" i="3"/>
  <c r="F267" i="3"/>
  <c r="F229" i="3"/>
  <c r="F205" i="3"/>
  <c r="F201" i="3"/>
  <c r="F197" i="3"/>
  <c r="F193" i="3"/>
  <c r="F189" i="3"/>
  <c r="F200" i="3"/>
  <c r="F202" i="3"/>
  <c r="F198" i="3"/>
  <c r="F194" i="3"/>
  <c r="F190" i="3"/>
  <c r="F204" i="3"/>
  <c r="F196" i="3"/>
  <c r="F192" i="3"/>
  <c r="F199" i="3"/>
  <c r="F195" i="3"/>
  <c r="F203" i="3"/>
  <c r="F191" i="3"/>
  <c r="E112" i="13"/>
  <c r="G112" i="13" s="1"/>
  <c r="E111" i="13"/>
  <c r="G111" i="13" s="1"/>
  <c r="E114" i="13"/>
  <c r="G114" i="13" s="1"/>
  <c r="E113" i="13"/>
  <c r="G113" i="13" s="1"/>
  <c r="E107" i="13"/>
  <c r="G107" i="13" s="1"/>
  <c r="H143" i="14" l="1"/>
  <c r="J38" i="14"/>
  <c r="K36" i="14"/>
  <c r="J37" i="14"/>
  <c r="I138" i="14"/>
  <c r="I139" i="14"/>
  <c r="I89" i="14"/>
  <c r="I90" i="14"/>
  <c r="H45" i="14"/>
  <c r="J86" i="14"/>
  <c r="K85" i="14"/>
  <c r="J87" i="14"/>
  <c r="I40" i="14"/>
  <c r="I41" i="14"/>
  <c r="H94" i="14"/>
  <c r="K134" i="14"/>
  <c r="J135" i="14"/>
  <c r="J136" i="14"/>
  <c r="C90" i="7"/>
  <c r="C94" i="7"/>
  <c r="C93" i="7"/>
  <c r="C91" i="7"/>
  <c r="C92" i="7"/>
  <c r="G75" i="3"/>
  <c r="G76" i="3" s="1"/>
  <c r="F98" i="1" s="1"/>
  <c r="C89" i="7"/>
  <c r="V209" i="3"/>
  <c r="V241" i="3"/>
  <c r="V265" i="3"/>
  <c r="V225" i="3"/>
  <c r="V197" i="3"/>
  <c r="V192" i="3"/>
  <c r="V264" i="3"/>
  <c r="V221" i="3"/>
  <c r="V223" i="3"/>
  <c r="V258" i="3"/>
  <c r="V212" i="3"/>
  <c r="V205" i="3"/>
  <c r="V248" i="3"/>
  <c r="V249" i="3"/>
  <c r="V211" i="3"/>
  <c r="V196" i="3"/>
  <c r="V234" i="3"/>
  <c r="V252" i="3"/>
  <c r="V210" i="3"/>
  <c r="V227" i="3"/>
  <c r="V236" i="3"/>
  <c r="V253" i="3"/>
  <c r="V217" i="3"/>
  <c r="V246" i="3"/>
  <c r="V206" i="3"/>
  <c r="V226" i="3"/>
  <c r="V191" i="3"/>
  <c r="V239" i="3"/>
  <c r="V233" i="3"/>
  <c r="V189" i="3"/>
  <c r="V237" i="3"/>
  <c r="V193" i="3"/>
  <c r="V204" i="3"/>
  <c r="V242" i="3"/>
  <c r="V256" i="3"/>
  <c r="V218" i="3"/>
  <c r="V207" i="3"/>
  <c r="V244" i="3"/>
  <c r="V257" i="3"/>
  <c r="V230" i="3"/>
  <c r="V250" i="3"/>
  <c r="V214" i="3"/>
  <c r="V259" i="3"/>
  <c r="V194" i="3"/>
  <c r="V219" i="3"/>
  <c r="V243" i="3"/>
  <c r="V232" i="3"/>
  <c r="V245" i="3"/>
  <c r="V266" i="3"/>
  <c r="V198" i="3"/>
  <c r="V213" i="3"/>
  <c r="V228" i="3"/>
  <c r="V260" i="3"/>
  <c r="V231" i="3"/>
  <c r="V215" i="3"/>
  <c r="V229" i="3"/>
  <c r="V261" i="3"/>
  <c r="V238" i="3"/>
  <c r="V254" i="3"/>
  <c r="V222" i="3"/>
  <c r="V224" i="3"/>
  <c r="V201" i="3"/>
  <c r="V247" i="3"/>
  <c r="V202" i="3"/>
  <c r="V251" i="3"/>
  <c r="V199" i="3"/>
  <c r="V267" i="3"/>
  <c r="V263" i="3"/>
  <c r="V235" i="3"/>
  <c r="V208" i="3"/>
  <c r="V200" i="3"/>
  <c r="V240" i="3"/>
  <c r="V262" i="3"/>
  <c r="V203" i="3"/>
  <c r="V220" i="3"/>
  <c r="V216" i="3"/>
  <c r="V190" i="3"/>
  <c r="V255" i="3"/>
  <c r="V195" i="3"/>
  <c r="M13" i="13"/>
  <c r="G13" i="13"/>
  <c r="H13" i="13" s="1"/>
  <c r="M17" i="13"/>
  <c r="G17" i="13"/>
  <c r="O17" i="13" s="1"/>
  <c r="M27" i="13"/>
  <c r="G27" i="13"/>
  <c r="H27" i="13" s="1"/>
  <c r="M12" i="13"/>
  <c r="G12" i="13"/>
  <c r="H12" i="13" s="1"/>
  <c r="M10" i="13"/>
  <c r="G10" i="13"/>
  <c r="H10" i="13" s="1"/>
  <c r="M15" i="13"/>
  <c r="G15" i="13"/>
  <c r="O15" i="13" s="1"/>
  <c r="M25" i="13"/>
  <c r="G25" i="13"/>
  <c r="H25" i="13" s="1"/>
  <c r="M22" i="13"/>
  <c r="G22" i="13"/>
  <c r="O22" i="13" s="1"/>
  <c r="M24" i="13"/>
  <c r="G24" i="13"/>
  <c r="H24" i="13" s="1"/>
  <c r="M11" i="13"/>
  <c r="G11" i="13"/>
  <c r="O11" i="13" s="1"/>
  <c r="M14" i="13"/>
  <c r="G14" i="13"/>
  <c r="O14" i="13" s="1"/>
  <c r="M31" i="13"/>
  <c r="G31" i="13"/>
  <c r="H31" i="13" s="1"/>
  <c r="M28" i="13"/>
  <c r="G28" i="13"/>
  <c r="O28" i="13" s="1"/>
  <c r="M30" i="13"/>
  <c r="G30" i="13"/>
  <c r="O30" i="13" s="1"/>
  <c r="M16" i="13"/>
  <c r="G16" i="13"/>
  <c r="O16" i="13" s="1"/>
  <c r="M23" i="13"/>
  <c r="H23" i="13"/>
  <c r="O20" i="13"/>
  <c r="M20" i="13"/>
  <c r="M19" i="13"/>
  <c r="H19" i="13"/>
  <c r="M26" i="13"/>
  <c r="O26" i="13"/>
  <c r="M18" i="13"/>
  <c r="H18" i="13"/>
  <c r="M29" i="13"/>
  <c r="M21" i="13"/>
  <c r="H21" i="13"/>
  <c r="G218" i="3"/>
  <c r="L218" i="3" s="1"/>
  <c r="U218" i="3" s="1"/>
  <c r="K218" i="3"/>
  <c r="T218" i="3" s="1"/>
  <c r="B218" i="3"/>
  <c r="E218" i="3"/>
  <c r="J218" i="3" s="1"/>
  <c r="S218" i="3" s="1"/>
  <c r="B213" i="3"/>
  <c r="G213" i="3"/>
  <c r="L213" i="3" s="1"/>
  <c r="U213" i="3" s="1"/>
  <c r="K213" i="3"/>
  <c r="T213" i="3" s="1"/>
  <c r="E213" i="3"/>
  <c r="J213" i="3" s="1"/>
  <c r="S213" i="3" s="1"/>
  <c r="K207" i="3"/>
  <c r="T207" i="3" s="1"/>
  <c r="E207" i="3"/>
  <c r="J207" i="3" s="1"/>
  <c r="S207" i="3" s="1"/>
  <c r="B207" i="3"/>
  <c r="G207" i="3"/>
  <c r="L207" i="3" s="1"/>
  <c r="U207" i="3" s="1"/>
  <c r="B237" i="3"/>
  <c r="G237" i="3"/>
  <c r="L237" i="3" s="1"/>
  <c r="U237" i="3" s="1"/>
  <c r="K237" i="3"/>
  <c r="T237" i="3" s="1"/>
  <c r="E237" i="3"/>
  <c r="J237" i="3" s="1"/>
  <c r="S237" i="3" s="1"/>
  <c r="E261" i="3"/>
  <c r="J261" i="3" s="1"/>
  <c r="K261" i="3"/>
  <c r="G261" i="3"/>
  <c r="L261" i="3" s="1"/>
  <c r="B261" i="3"/>
  <c r="G212" i="3"/>
  <c r="L212" i="3" s="1"/>
  <c r="U212" i="3" s="1"/>
  <c r="K212" i="3"/>
  <c r="T212" i="3" s="1"/>
  <c r="E212" i="3"/>
  <c r="J212" i="3" s="1"/>
  <c r="S212" i="3" s="1"/>
  <c r="B212" i="3"/>
  <c r="G236" i="3"/>
  <c r="L236" i="3" s="1"/>
  <c r="U236" i="3" s="1"/>
  <c r="B236" i="3"/>
  <c r="K236" i="3"/>
  <c r="T236" i="3" s="1"/>
  <c r="E236" i="3"/>
  <c r="J236" i="3" s="1"/>
  <c r="S236" i="3" s="1"/>
  <c r="G268" i="3"/>
  <c r="L268" i="3" s="1"/>
  <c r="B268" i="3"/>
  <c r="K268" i="3"/>
  <c r="E268" i="3"/>
  <c r="J268" i="3" s="1"/>
  <c r="G252" i="3"/>
  <c r="L252" i="3" s="1"/>
  <c r="U252" i="3" s="1"/>
  <c r="B252" i="3"/>
  <c r="K252" i="3"/>
  <c r="T252" i="3" s="1"/>
  <c r="E252" i="3"/>
  <c r="J252" i="3" s="1"/>
  <c r="S252" i="3" s="1"/>
  <c r="G238" i="3"/>
  <c r="L238" i="3" s="1"/>
  <c r="U238" i="3" s="1"/>
  <c r="K238" i="3"/>
  <c r="T238" i="3" s="1"/>
  <c r="B238" i="3"/>
  <c r="E238" i="3"/>
  <c r="J238" i="3" s="1"/>
  <c r="S238" i="3" s="1"/>
  <c r="G222" i="3"/>
  <c r="L222" i="3" s="1"/>
  <c r="U222" i="3" s="1"/>
  <c r="K222" i="3"/>
  <c r="T222" i="3" s="1"/>
  <c r="B222" i="3"/>
  <c r="E222" i="3"/>
  <c r="J222" i="3" s="1"/>
  <c r="S222" i="3" s="1"/>
  <c r="G206" i="3"/>
  <c r="L206" i="3" s="1"/>
  <c r="U206" i="3" s="1"/>
  <c r="K206" i="3"/>
  <c r="T206" i="3" s="1"/>
  <c r="B206" i="3"/>
  <c r="E206" i="3"/>
  <c r="J206" i="3" s="1"/>
  <c r="S206" i="3" s="1"/>
  <c r="G254" i="3"/>
  <c r="L254" i="3" s="1"/>
  <c r="U254" i="3" s="1"/>
  <c r="K254" i="3"/>
  <c r="T254" i="3" s="1"/>
  <c r="B254" i="3"/>
  <c r="E254" i="3"/>
  <c r="J254" i="3" s="1"/>
  <c r="S254" i="3" s="1"/>
  <c r="K235" i="3"/>
  <c r="T235" i="3" s="1"/>
  <c r="B235" i="3"/>
  <c r="G235" i="3"/>
  <c r="L235" i="3" s="1"/>
  <c r="U235" i="3" s="1"/>
  <c r="E235" i="3"/>
  <c r="J235" i="3" s="1"/>
  <c r="S235" i="3" s="1"/>
  <c r="K219" i="3"/>
  <c r="T219" i="3" s="1"/>
  <c r="B219" i="3"/>
  <c r="G219" i="3"/>
  <c r="L219" i="3" s="1"/>
  <c r="U219" i="3" s="1"/>
  <c r="E219" i="3"/>
  <c r="J219" i="3" s="1"/>
  <c r="S219" i="3" s="1"/>
  <c r="B229" i="3"/>
  <c r="G229" i="3"/>
  <c r="L229" i="3" s="1"/>
  <c r="U229" i="3" s="1"/>
  <c r="E229" i="3"/>
  <c r="J229" i="3" s="1"/>
  <c r="S229" i="3" s="1"/>
  <c r="K229" i="3"/>
  <c r="T229" i="3" s="1"/>
  <c r="K251" i="3"/>
  <c r="T251" i="3" s="1"/>
  <c r="G251" i="3"/>
  <c r="L251" i="3" s="1"/>
  <c r="U251" i="3" s="1"/>
  <c r="B251" i="3"/>
  <c r="E251" i="3"/>
  <c r="J251" i="3" s="1"/>
  <c r="S251" i="3" s="1"/>
  <c r="G266" i="3"/>
  <c r="L266" i="3" s="1"/>
  <c r="K266" i="3"/>
  <c r="B266" i="3"/>
  <c r="E266" i="3"/>
  <c r="J266" i="3" s="1"/>
  <c r="G264" i="3"/>
  <c r="L264" i="3" s="1"/>
  <c r="B264" i="3"/>
  <c r="E264" i="3"/>
  <c r="J264" i="3" s="1"/>
  <c r="K264" i="3"/>
  <c r="G226" i="3"/>
  <c r="L226" i="3" s="1"/>
  <c r="U226" i="3" s="1"/>
  <c r="K226" i="3"/>
  <c r="T226" i="3" s="1"/>
  <c r="B226" i="3"/>
  <c r="E226" i="3"/>
  <c r="J226" i="3" s="1"/>
  <c r="S226" i="3" s="1"/>
  <c r="G250" i="3"/>
  <c r="L250" i="3" s="1"/>
  <c r="U250" i="3" s="1"/>
  <c r="K250" i="3"/>
  <c r="T250" i="3" s="1"/>
  <c r="B250" i="3"/>
  <c r="E250" i="3"/>
  <c r="J250" i="3" s="1"/>
  <c r="S250" i="3" s="1"/>
  <c r="G258" i="3"/>
  <c r="L258" i="3" s="1"/>
  <c r="U258" i="3" s="1"/>
  <c r="K258" i="3"/>
  <c r="T258" i="3" s="1"/>
  <c r="B258" i="3"/>
  <c r="E258" i="3"/>
  <c r="J258" i="3" s="1"/>
  <c r="S258" i="3" s="1"/>
  <c r="K231" i="3"/>
  <c r="T231" i="3" s="1"/>
  <c r="B231" i="3"/>
  <c r="G231" i="3"/>
  <c r="L231" i="3" s="1"/>
  <c r="U231" i="3" s="1"/>
  <c r="E231" i="3"/>
  <c r="J231" i="3" s="1"/>
  <c r="S231" i="3" s="1"/>
  <c r="K263" i="3"/>
  <c r="B263" i="3"/>
  <c r="G263" i="3"/>
  <c r="L263" i="3" s="1"/>
  <c r="E263" i="3"/>
  <c r="J263" i="3" s="1"/>
  <c r="E249" i="3"/>
  <c r="J249" i="3" s="1"/>
  <c r="S249" i="3" s="1"/>
  <c r="K249" i="3"/>
  <c r="T249" i="3" s="1"/>
  <c r="B249" i="3"/>
  <c r="G249" i="3"/>
  <c r="L249" i="3" s="1"/>
  <c r="U249" i="3" s="1"/>
  <c r="B233" i="3"/>
  <c r="K233" i="3"/>
  <c r="T233" i="3" s="1"/>
  <c r="E233" i="3"/>
  <c r="J233" i="3" s="1"/>
  <c r="S233" i="3" s="1"/>
  <c r="G233" i="3"/>
  <c r="L233" i="3" s="1"/>
  <c r="U233" i="3" s="1"/>
  <c r="B217" i="3"/>
  <c r="K217" i="3"/>
  <c r="T217" i="3" s="1"/>
  <c r="E217" i="3"/>
  <c r="J217" i="3" s="1"/>
  <c r="S217" i="3" s="1"/>
  <c r="G217" i="3"/>
  <c r="L217" i="3" s="1"/>
  <c r="U217" i="3" s="1"/>
  <c r="E265" i="3"/>
  <c r="J265" i="3" s="1"/>
  <c r="G265" i="3"/>
  <c r="L265" i="3" s="1"/>
  <c r="K265" i="3"/>
  <c r="B265" i="3"/>
  <c r="G248" i="3"/>
  <c r="L248" i="3" s="1"/>
  <c r="U248" i="3" s="1"/>
  <c r="B248" i="3"/>
  <c r="E248" i="3"/>
  <c r="J248" i="3" s="1"/>
  <c r="S248" i="3" s="1"/>
  <c r="K248" i="3"/>
  <c r="T248" i="3" s="1"/>
  <c r="G232" i="3"/>
  <c r="L232" i="3" s="1"/>
  <c r="U232" i="3" s="1"/>
  <c r="B232" i="3"/>
  <c r="K232" i="3"/>
  <c r="T232" i="3" s="1"/>
  <c r="E232" i="3"/>
  <c r="J232" i="3" s="1"/>
  <c r="S232" i="3" s="1"/>
  <c r="G216" i="3"/>
  <c r="L216" i="3" s="1"/>
  <c r="U216" i="3" s="1"/>
  <c r="E216" i="3"/>
  <c r="J216" i="3" s="1"/>
  <c r="S216" i="3" s="1"/>
  <c r="B216" i="3"/>
  <c r="K216" i="3"/>
  <c r="T216" i="3" s="1"/>
  <c r="K267" i="3"/>
  <c r="G267" i="3"/>
  <c r="L267" i="3" s="1"/>
  <c r="B267" i="3"/>
  <c r="E267" i="3"/>
  <c r="J267" i="3" s="1"/>
  <c r="G256" i="3"/>
  <c r="L256" i="3" s="1"/>
  <c r="U256" i="3" s="1"/>
  <c r="B256" i="3"/>
  <c r="K256" i="3"/>
  <c r="T256" i="3" s="1"/>
  <c r="E256" i="3"/>
  <c r="J256" i="3" s="1"/>
  <c r="S256" i="3" s="1"/>
  <c r="G244" i="3"/>
  <c r="L244" i="3" s="1"/>
  <c r="U244" i="3" s="1"/>
  <c r="E244" i="3"/>
  <c r="J244" i="3" s="1"/>
  <c r="S244" i="3" s="1"/>
  <c r="K244" i="3"/>
  <c r="T244" i="3" s="1"/>
  <c r="B244" i="3"/>
  <c r="K259" i="3"/>
  <c r="G259" i="3"/>
  <c r="L259" i="3" s="1"/>
  <c r="B259" i="3"/>
  <c r="E259" i="3"/>
  <c r="J259" i="3" s="1"/>
  <c r="B221" i="3"/>
  <c r="G221" i="3"/>
  <c r="L221" i="3" s="1"/>
  <c r="U221" i="3" s="1"/>
  <c r="K221" i="3"/>
  <c r="T221" i="3" s="1"/>
  <c r="E221" i="3"/>
  <c r="J221" i="3" s="1"/>
  <c r="S221" i="3" s="1"/>
  <c r="K239" i="3"/>
  <c r="T239" i="3" s="1"/>
  <c r="E239" i="3"/>
  <c r="J239" i="3" s="1"/>
  <c r="S239" i="3" s="1"/>
  <c r="B239" i="3"/>
  <c r="G239" i="3"/>
  <c r="L239" i="3" s="1"/>
  <c r="U239" i="3" s="1"/>
  <c r="E253" i="3"/>
  <c r="J253" i="3" s="1"/>
  <c r="S253" i="3" s="1"/>
  <c r="G253" i="3"/>
  <c r="L253" i="3" s="1"/>
  <c r="U253" i="3" s="1"/>
  <c r="K253" i="3"/>
  <c r="T253" i="3" s="1"/>
  <c r="B253" i="3"/>
  <c r="G220" i="3"/>
  <c r="L220" i="3" s="1"/>
  <c r="U220" i="3" s="1"/>
  <c r="B220" i="3"/>
  <c r="E220" i="3"/>
  <c r="J220" i="3" s="1"/>
  <c r="S220" i="3" s="1"/>
  <c r="K220" i="3"/>
  <c r="T220" i="3" s="1"/>
  <c r="G260" i="3"/>
  <c r="L260" i="3" s="1"/>
  <c r="K260" i="3"/>
  <c r="B260" i="3"/>
  <c r="E260" i="3"/>
  <c r="J260" i="3" s="1"/>
  <c r="G246" i="3"/>
  <c r="L246" i="3" s="1"/>
  <c r="U246" i="3" s="1"/>
  <c r="B246" i="3"/>
  <c r="K246" i="3"/>
  <c r="T246" i="3" s="1"/>
  <c r="E246" i="3"/>
  <c r="J246" i="3" s="1"/>
  <c r="S246" i="3" s="1"/>
  <c r="G230" i="3"/>
  <c r="L230" i="3" s="1"/>
  <c r="U230" i="3" s="1"/>
  <c r="B230" i="3"/>
  <c r="K230" i="3"/>
  <c r="T230" i="3" s="1"/>
  <c r="E230" i="3"/>
  <c r="J230" i="3" s="1"/>
  <c r="S230" i="3" s="1"/>
  <c r="G214" i="3"/>
  <c r="L214" i="3" s="1"/>
  <c r="U214" i="3" s="1"/>
  <c r="B214" i="3"/>
  <c r="K214" i="3"/>
  <c r="T214" i="3" s="1"/>
  <c r="E214" i="3"/>
  <c r="J214" i="3" s="1"/>
  <c r="S214" i="3" s="1"/>
  <c r="G262" i="3"/>
  <c r="L262" i="3" s="1"/>
  <c r="B262" i="3"/>
  <c r="K262" i="3"/>
  <c r="E262" i="3"/>
  <c r="J262" i="3" s="1"/>
  <c r="K243" i="3"/>
  <c r="T243" i="3" s="1"/>
  <c r="G243" i="3"/>
  <c r="L243" i="3" s="1"/>
  <c r="U243" i="3" s="1"/>
  <c r="B243" i="3"/>
  <c r="E243" i="3"/>
  <c r="J243" i="3" s="1"/>
  <c r="S243" i="3" s="1"/>
  <c r="K227" i="3"/>
  <c r="T227" i="3" s="1"/>
  <c r="G227" i="3"/>
  <c r="L227" i="3" s="1"/>
  <c r="U227" i="3" s="1"/>
  <c r="B227" i="3"/>
  <c r="E227" i="3"/>
  <c r="J227" i="3" s="1"/>
  <c r="S227" i="3" s="1"/>
  <c r="K211" i="3"/>
  <c r="T211" i="3" s="1"/>
  <c r="G211" i="3"/>
  <c r="L211" i="3" s="1"/>
  <c r="U211" i="3" s="1"/>
  <c r="E211" i="3"/>
  <c r="J211" i="3" s="1"/>
  <c r="S211" i="3" s="1"/>
  <c r="B211" i="3"/>
  <c r="B245" i="3"/>
  <c r="G245" i="3"/>
  <c r="L245" i="3" s="1"/>
  <c r="U245" i="3" s="1"/>
  <c r="E245" i="3"/>
  <c r="J245" i="3" s="1"/>
  <c r="S245" i="3" s="1"/>
  <c r="K245" i="3"/>
  <c r="T245" i="3" s="1"/>
  <c r="G234" i="3"/>
  <c r="L234" i="3" s="1"/>
  <c r="U234" i="3" s="1"/>
  <c r="K234" i="3"/>
  <c r="T234" i="3" s="1"/>
  <c r="B234" i="3"/>
  <c r="E234" i="3"/>
  <c r="J234" i="3" s="1"/>
  <c r="S234" i="3" s="1"/>
  <c r="K223" i="3"/>
  <c r="T223" i="3" s="1"/>
  <c r="E223" i="3"/>
  <c r="J223" i="3" s="1"/>
  <c r="S223" i="3" s="1"/>
  <c r="B223" i="3"/>
  <c r="G223" i="3"/>
  <c r="L223" i="3" s="1"/>
  <c r="U223" i="3" s="1"/>
  <c r="G242" i="3"/>
  <c r="L242" i="3" s="1"/>
  <c r="U242" i="3" s="1"/>
  <c r="K242" i="3"/>
  <c r="T242" i="3" s="1"/>
  <c r="B242" i="3"/>
  <c r="E242" i="3"/>
  <c r="J242" i="3" s="1"/>
  <c r="S242" i="3" s="1"/>
  <c r="G210" i="3"/>
  <c r="L210" i="3" s="1"/>
  <c r="U210" i="3" s="1"/>
  <c r="K210" i="3"/>
  <c r="T210" i="3" s="1"/>
  <c r="B210" i="3"/>
  <c r="E210" i="3"/>
  <c r="J210" i="3" s="1"/>
  <c r="S210" i="3" s="1"/>
  <c r="G228" i="3"/>
  <c r="L228" i="3" s="1"/>
  <c r="U228" i="3" s="1"/>
  <c r="E228" i="3"/>
  <c r="J228" i="3" s="1"/>
  <c r="S228" i="3" s="1"/>
  <c r="K228" i="3"/>
  <c r="T228" i="3" s="1"/>
  <c r="B228" i="3"/>
  <c r="K247" i="3"/>
  <c r="T247" i="3" s="1"/>
  <c r="B247" i="3"/>
  <c r="G247" i="3"/>
  <c r="L247" i="3" s="1"/>
  <c r="U247" i="3" s="1"/>
  <c r="E247" i="3"/>
  <c r="J247" i="3" s="1"/>
  <c r="S247" i="3" s="1"/>
  <c r="K215" i="3"/>
  <c r="T215" i="3" s="1"/>
  <c r="E215" i="3"/>
  <c r="J215" i="3" s="1"/>
  <c r="S215" i="3" s="1"/>
  <c r="B215" i="3"/>
  <c r="G215" i="3"/>
  <c r="L215" i="3" s="1"/>
  <c r="U215" i="3" s="1"/>
  <c r="K255" i="3"/>
  <c r="T255" i="3" s="1"/>
  <c r="G255" i="3"/>
  <c r="L255" i="3" s="1"/>
  <c r="U255" i="3" s="1"/>
  <c r="E255" i="3"/>
  <c r="J255" i="3" s="1"/>
  <c r="S255" i="3" s="1"/>
  <c r="B255" i="3"/>
  <c r="B241" i="3"/>
  <c r="K241" i="3"/>
  <c r="T241" i="3" s="1"/>
  <c r="G241" i="3"/>
  <c r="L241" i="3" s="1"/>
  <c r="U241" i="3" s="1"/>
  <c r="E241" i="3"/>
  <c r="J241" i="3" s="1"/>
  <c r="S241" i="3" s="1"/>
  <c r="B225" i="3"/>
  <c r="K225" i="3"/>
  <c r="T225" i="3" s="1"/>
  <c r="G225" i="3"/>
  <c r="L225" i="3" s="1"/>
  <c r="U225" i="3" s="1"/>
  <c r="E225" i="3"/>
  <c r="J225" i="3" s="1"/>
  <c r="S225" i="3" s="1"/>
  <c r="B209" i="3"/>
  <c r="E209" i="3"/>
  <c r="J209" i="3" s="1"/>
  <c r="S209" i="3" s="1"/>
  <c r="K209" i="3"/>
  <c r="T209" i="3" s="1"/>
  <c r="G209" i="3"/>
  <c r="L209" i="3" s="1"/>
  <c r="U209" i="3" s="1"/>
  <c r="E257" i="3"/>
  <c r="J257" i="3" s="1"/>
  <c r="S257" i="3" s="1"/>
  <c r="G257" i="3"/>
  <c r="L257" i="3" s="1"/>
  <c r="U257" i="3" s="1"/>
  <c r="K257" i="3"/>
  <c r="T257" i="3" s="1"/>
  <c r="B257" i="3"/>
  <c r="G240" i="3"/>
  <c r="L240" i="3" s="1"/>
  <c r="U240" i="3" s="1"/>
  <c r="B240" i="3"/>
  <c r="E240" i="3"/>
  <c r="J240" i="3" s="1"/>
  <c r="S240" i="3" s="1"/>
  <c r="K240" i="3"/>
  <c r="T240" i="3" s="1"/>
  <c r="G224" i="3"/>
  <c r="L224" i="3" s="1"/>
  <c r="U224" i="3" s="1"/>
  <c r="B224" i="3"/>
  <c r="E224" i="3"/>
  <c r="J224" i="3" s="1"/>
  <c r="S224" i="3" s="1"/>
  <c r="K224" i="3"/>
  <c r="T224" i="3" s="1"/>
  <c r="G208" i="3"/>
  <c r="L208" i="3" s="1"/>
  <c r="U208" i="3" s="1"/>
  <c r="B208" i="3"/>
  <c r="E208" i="3"/>
  <c r="J208" i="3" s="1"/>
  <c r="S208" i="3" s="1"/>
  <c r="K208" i="3"/>
  <c r="T208" i="3" s="1"/>
  <c r="M76" i="13"/>
  <c r="M52" i="13"/>
  <c r="M87" i="13"/>
  <c r="M48" i="13"/>
  <c r="M63" i="13"/>
  <c r="M69" i="13"/>
  <c r="M78" i="13"/>
  <c r="M66" i="13"/>
  <c r="M102" i="13"/>
  <c r="M77" i="13"/>
  <c r="B190" i="3"/>
  <c r="K190" i="3"/>
  <c r="T190" i="3" s="1"/>
  <c r="E190" i="3"/>
  <c r="J190" i="3" s="1"/>
  <c r="S190" i="3" s="1"/>
  <c r="G190" i="3"/>
  <c r="L190" i="3" s="1"/>
  <c r="U190" i="3" s="1"/>
  <c r="K201" i="3"/>
  <c r="T201" i="3" s="1"/>
  <c r="G201" i="3"/>
  <c r="L201" i="3" s="1"/>
  <c r="U201" i="3" s="1"/>
  <c r="E201" i="3"/>
  <c r="J201" i="3" s="1"/>
  <c r="S201" i="3" s="1"/>
  <c r="B201" i="3"/>
  <c r="M105" i="13"/>
  <c r="M75" i="13"/>
  <c r="M89" i="13"/>
  <c r="M92" i="13"/>
  <c r="M60" i="13"/>
  <c r="M79" i="13"/>
  <c r="M90" i="13"/>
  <c r="M46" i="13"/>
  <c r="M42" i="13"/>
  <c r="M93" i="13"/>
  <c r="H26" i="13"/>
  <c r="E191" i="3"/>
  <c r="J191" i="3" s="1"/>
  <c r="S191" i="3" s="1"/>
  <c r="B191" i="3"/>
  <c r="G191" i="3"/>
  <c r="L191" i="3" s="1"/>
  <c r="U191" i="3" s="1"/>
  <c r="K191" i="3"/>
  <c r="T191" i="3" s="1"/>
  <c r="G192" i="3"/>
  <c r="L192" i="3" s="1"/>
  <c r="U192" i="3" s="1"/>
  <c r="E192" i="3"/>
  <c r="J192" i="3" s="1"/>
  <c r="S192" i="3" s="1"/>
  <c r="K192" i="3"/>
  <c r="T192" i="3" s="1"/>
  <c r="B192" i="3"/>
  <c r="K189" i="3"/>
  <c r="T189" i="3" s="1"/>
  <c r="B189" i="3"/>
  <c r="G189" i="3"/>
  <c r="L189" i="3" s="1"/>
  <c r="U189" i="3" s="1"/>
  <c r="E189" i="3"/>
  <c r="J189" i="3" s="1"/>
  <c r="S189" i="3" s="1"/>
  <c r="K205" i="3"/>
  <c r="T205" i="3" s="1"/>
  <c r="B205" i="3"/>
  <c r="G205" i="3"/>
  <c r="L205" i="3" s="1"/>
  <c r="U205" i="3" s="1"/>
  <c r="E205" i="3"/>
  <c r="J205" i="3" s="1"/>
  <c r="S205" i="3" s="1"/>
  <c r="M72" i="13"/>
  <c r="M71" i="13"/>
  <c r="M57" i="13"/>
  <c r="M74" i="13"/>
  <c r="M96" i="13"/>
  <c r="M51" i="13"/>
  <c r="M49" i="13"/>
  <c r="M85" i="13"/>
  <c r="M103" i="13"/>
  <c r="M94" i="13"/>
  <c r="M44" i="13"/>
  <c r="M80" i="13"/>
  <c r="M59" i="13"/>
  <c r="M33" i="13"/>
  <c r="M61" i="13"/>
  <c r="M38" i="13"/>
  <c r="M62" i="13"/>
  <c r="M86" i="13"/>
  <c r="M58" i="13"/>
  <c r="M114" i="13"/>
  <c r="M98" i="13"/>
  <c r="B203" i="3"/>
  <c r="G203" i="3"/>
  <c r="L203" i="3" s="1"/>
  <c r="U203" i="3" s="1"/>
  <c r="E203" i="3"/>
  <c r="J203" i="3" s="1"/>
  <c r="S203" i="3" s="1"/>
  <c r="K203" i="3"/>
  <c r="T203" i="3" s="1"/>
  <c r="G196" i="3"/>
  <c r="L196" i="3" s="1"/>
  <c r="U196" i="3" s="1"/>
  <c r="E196" i="3"/>
  <c r="J196" i="3" s="1"/>
  <c r="S196" i="3" s="1"/>
  <c r="K196" i="3"/>
  <c r="T196" i="3" s="1"/>
  <c r="B196" i="3"/>
  <c r="B198" i="3"/>
  <c r="K198" i="3"/>
  <c r="T198" i="3" s="1"/>
  <c r="E198" i="3"/>
  <c r="J198" i="3" s="1"/>
  <c r="S198" i="3" s="1"/>
  <c r="G198" i="3"/>
  <c r="L198" i="3" s="1"/>
  <c r="U198" i="3" s="1"/>
  <c r="K193" i="3"/>
  <c r="T193" i="3" s="1"/>
  <c r="G193" i="3"/>
  <c r="L193" i="3" s="1"/>
  <c r="U193" i="3" s="1"/>
  <c r="E193" i="3"/>
  <c r="J193" i="3" s="1"/>
  <c r="S193" i="3" s="1"/>
  <c r="B193" i="3"/>
  <c r="O29" i="13"/>
  <c r="H29" i="13"/>
  <c r="M39" i="13"/>
  <c r="M53" i="13"/>
  <c r="M110" i="13"/>
  <c r="M88" i="13"/>
  <c r="M41" i="13"/>
  <c r="M99" i="13"/>
  <c r="M40" i="13"/>
  <c r="M113" i="13"/>
  <c r="M91" i="13"/>
  <c r="M82" i="13"/>
  <c r="E199" i="3"/>
  <c r="J199" i="3" s="1"/>
  <c r="S199" i="3" s="1"/>
  <c r="B199" i="3"/>
  <c r="G199" i="3"/>
  <c r="L199" i="3" s="1"/>
  <c r="U199" i="3" s="1"/>
  <c r="K199" i="3"/>
  <c r="T199" i="3" s="1"/>
  <c r="G200" i="3"/>
  <c r="L200" i="3" s="1"/>
  <c r="U200" i="3" s="1"/>
  <c r="E200" i="3"/>
  <c r="J200" i="3" s="1"/>
  <c r="S200" i="3" s="1"/>
  <c r="K200" i="3"/>
  <c r="T200" i="3" s="1"/>
  <c r="B200" i="3"/>
  <c r="M104" i="13"/>
  <c r="M95" i="13"/>
  <c r="M36" i="13"/>
  <c r="M67" i="13"/>
  <c r="M32" i="13"/>
  <c r="M47" i="13"/>
  <c r="M37" i="13"/>
  <c r="M65" i="13"/>
  <c r="M107" i="13"/>
  <c r="M50" i="13"/>
  <c r="M109" i="13"/>
  <c r="B194" i="3"/>
  <c r="K194" i="3"/>
  <c r="T194" i="3" s="1"/>
  <c r="G194" i="3"/>
  <c r="L194" i="3" s="1"/>
  <c r="U194" i="3" s="1"/>
  <c r="E194" i="3"/>
  <c r="J194" i="3" s="1"/>
  <c r="S194" i="3" s="1"/>
  <c r="M108" i="13"/>
  <c r="M55" i="13"/>
  <c r="M68" i="13"/>
  <c r="M101" i="13"/>
  <c r="M100" i="13"/>
  <c r="M35" i="13"/>
  <c r="M64" i="13"/>
  <c r="M45" i="13"/>
  <c r="M83" i="13"/>
  <c r="M73" i="13"/>
  <c r="M106" i="13"/>
  <c r="M84" i="13"/>
  <c r="M43" i="13"/>
  <c r="M56" i="13"/>
  <c r="M34" i="13"/>
  <c r="M70" i="13"/>
  <c r="M81" i="13"/>
  <c r="M54" i="13"/>
  <c r="M97" i="13"/>
  <c r="M111" i="13"/>
  <c r="M112" i="13"/>
  <c r="B195" i="3"/>
  <c r="G195" i="3"/>
  <c r="L195" i="3" s="1"/>
  <c r="U195" i="3" s="1"/>
  <c r="E195" i="3"/>
  <c r="J195" i="3" s="1"/>
  <c r="S195" i="3" s="1"/>
  <c r="K195" i="3"/>
  <c r="T195" i="3" s="1"/>
  <c r="G204" i="3"/>
  <c r="L204" i="3" s="1"/>
  <c r="U204" i="3" s="1"/>
  <c r="E204" i="3"/>
  <c r="J204" i="3" s="1"/>
  <c r="S204" i="3" s="1"/>
  <c r="K204" i="3"/>
  <c r="T204" i="3" s="1"/>
  <c r="B204" i="3"/>
  <c r="B202" i="3"/>
  <c r="K202" i="3"/>
  <c r="T202" i="3" s="1"/>
  <c r="G202" i="3"/>
  <c r="L202" i="3" s="1"/>
  <c r="U202" i="3" s="1"/>
  <c r="E202" i="3"/>
  <c r="J202" i="3" s="1"/>
  <c r="S202" i="3" s="1"/>
  <c r="K197" i="3"/>
  <c r="T197" i="3" s="1"/>
  <c r="B197" i="3"/>
  <c r="G197" i="3"/>
  <c r="L197" i="3" s="1"/>
  <c r="U197" i="3" s="1"/>
  <c r="E197" i="3"/>
  <c r="J197" i="3" s="1"/>
  <c r="S197" i="3" s="1"/>
  <c r="I143" i="14" l="1"/>
  <c r="I45" i="14"/>
  <c r="K135" i="14"/>
  <c r="L134" i="14"/>
  <c r="K136" i="14"/>
  <c r="J89" i="14"/>
  <c r="J90" i="14"/>
  <c r="L85" i="14"/>
  <c r="K87" i="14"/>
  <c r="K86" i="14"/>
  <c r="I94" i="14"/>
  <c r="K37" i="14"/>
  <c r="L36" i="14"/>
  <c r="K38" i="14"/>
  <c r="J138" i="14"/>
  <c r="J139" i="14"/>
  <c r="J40" i="14"/>
  <c r="J41" i="14"/>
  <c r="O10" i="13"/>
  <c r="O24" i="13"/>
  <c r="H30" i="13"/>
  <c r="L30" i="13" s="1"/>
  <c r="O27" i="13"/>
  <c r="O23" i="13"/>
  <c r="O25" i="13"/>
  <c r="H11" i="13"/>
  <c r="I11" i="13" s="1"/>
  <c r="N11" i="13" s="1"/>
  <c r="O19" i="13"/>
  <c r="O21" i="13"/>
  <c r="O12" i="13"/>
  <c r="H20" i="13"/>
  <c r="I20" i="13" s="1"/>
  <c r="N20" i="13" s="1"/>
  <c r="O31" i="13"/>
  <c r="H15" i="13"/>
  <c r="L15" i="13" s="1"/>
  <c r="H16" i="13"/>
  <c r="L16" i="13" s="1"/>
  <c r="H28" i="13"/>
  <c r="L28" i="13" s="1"/>
  <c r="H14" i="13"/>
  <c r="I14" i="13" s="1"/>
  <c r="N14" i="13" s="1"/>
  <c r="O18" i="13"/>
  <c r="H22" i="13"/>
  <c r="L22" i="13" s="1"/>
  <c r="H17" i="13"/>
  <c r="L17" i="13" s="1"/>
  <c r="O13" i="13"/>
  <c r="N4" i="13"/>
  <c r="O47" i="13"/>
  <c r="H47" i="13"/>
  <c r="O114" i="13"/>
  <c r="H114" i="13"/>
  <c r="O38" i="13"/>
  <c r="H38" i="13"/>
  <c r="O94" i="13"/>
  <c r="H94" i="13"/>
  <c r="O112" i="13"/>
  <c r="H112" i="13"/>
  <c r="O81" i="13"/>
  <c r="H81" i="13"/>
  <c r="O43" i="13"/>
  <c r="H43" i="13"/>
  <c r="O64" i="13"/>
  <c r="H64" i="13"/>
  <c r="O109" i="13"/>
  <c r="H109" i="13"/>
  <c r="O32" i="13"/>
  <c r="H32" i="13"/>
  <c r="I21" i="13"/>
  <c r="N21" i="13" s="1"/>
  <c r="L21" i="13"/>
  <c r="O40" i="13"/>
  <c r="H40" i="13"/>
  <c r="O41" i="13"/>
  <c r="H41" i="13"/>
  <c r="H39" i="13"/>
  <c r="O39" i="13"/>
  <c r="I29" i="13"/>
  <c r="N29" i="13" s="1"/>
  <c r="L29" i="13"/>
  <c r="O90" i="13"/>
  <c r="H90" i="13"/>
  <c r="O89" i="13"/>
  <c r="H89" i="13"/>
  <c r="O105" i="13"/>
  <c r="H105" i="13"/>
  <c r="O102" i="13"/>
  <c r="H102" i="13"/>
  <c r="L23" i="13"/>
  <c r="I23" i="13"/>
  <c r="N23" i="13" s="1"/>
  <c r="L24" i="13"/>
  <c r="I24" i="13"/>
  <c r="N24" i="13" s="1"/>
  <c r="I13" i="13"/>
  <c r="N13" i="13" s="1"/>
  <c r="L13" i="13"/>
  <c r="O111" i="13"/>
  <c r="H111" i="13"/>
  <c r="O54" i="13"/>
  <c r="H54" i="13"/>
  <c r="O70" i="13"/>
  <c r="H70" i="13"/>
  <c r="O56" i="13"/>
  <c r="H56" i="13"/>
  <c r="O84" i="13"/>
  <c r="H84" i="13"/>
  <c r="O73" i="13"/>
  <c r="H73" i="13"/>
  <c r="O45" i="13"/>
  <c r="H45" i="13"/>
  <c r="H35" i="13"/>
  <c r="O35" i="13"/>
  <c r="O101" i="13"/>
  <c r="H101" i="13"/>
  <c r="O55" i="13"/>
  <c r="H55" i="13"/>
  <c r="L12" i="13"/>
  <c r="I12" i="13"/>
  <c r="N12" i="13" s="1"/>
  <c r="O50" i="13"/>
  <c r="H50" i="13"/>
  <c r="O65" i="13"/>
  <c r="H65" i="13"/>
  <c r="H67" i="13"/>
  <c r="O67" i="13"/>
  <c r="H95" i="13"/>
  <c r="O95" i="13"/>
  <c r="L19" i="13"/>
  <c r="I19" i="13"/>
  <c r="N19" i="13" s="1"/>
  <c r="O82" i="13"/>
  <c r="H82" i="13"/>
  <c r="O113" i="13"/>
  <c r="H113" i="13"/>
  <c r="H99" i="13"/>
  <c r="O99" i="13"/>
  <c r="H88" i="13"/>
  <c r="O88" i="13"/>
  <c r="O53" i="13"/>
  <c r="H53" i="13"/>
  <c r="I26" i="13"/>
  <c r="N26" i="13" s="1"/>
  <c r="L26" i="13"/>
  <c r="O93" i="13"/>
  <c r="H93" i="13"/>
  <c r="O46" i="13"/>
  <c r="H46" i="13"/>
  <c r="H79" i="13"/>
  <c r="O79" i="13"/>
  <c r="O92" i="13"/>
  <c r="H92" i="13"/>
  <c r="O75" i="13"/>
  <c r="H75" i="13"/>
  <c r="L10" i="13"/>
  <c r="I10" i="13"/>
  <c r="O77" i="13"/>
  <c r="H77" i="13"/>
  <c r="O66" i="13"/>
  <c r="H66" i="13"/>
  <c r="O69" i="13"/>
  <c r="H69" i="13"/>
  <c r="O48" i="13"/>
  <c r="H48" i="13"/>
  <c r="O52" i="13"/>
  <c r="H52" i="13"/>
  <c r="L18" i="13"/>
  <c r="I18" i="13"/>
  <c r="N18" i="13" s="1"/>
  <c r="O86" i="13"/>
  <c r="H86" i="13"/>
  <c r="O33" i="13"/>
  <c r="H33" i="13"/>
  <c r="O80" i="13"/>
  <c r="H80" i="13"/>
  <c r="O85" i="13"/>
  <c r="H85" i="13"/>
  <c r="H51" i="13"/>
  <c r="O51" i="13"/>
  <c r="O74" i="13"/>
  <c r="H74" i="13"/>
  <c r="H71" i="13"/>
  <c r="O71" i="13"/>
  <c r="O97" i="13"/>
  <c r="H97" i="13"/>
  <c r="O34" i="13"/>
  <c r="H34" i="13"/>
  <c r="O106" i="13"/>
  <c r="H106" i="13"/>
  <c r="O83" i="13"/>
  <c r="H83" i="13"/>
  <c r="H100" i="13"/>
  <c r="O100" i="13"/>
  <c r="O68" i="13"/>
  <c r="H68" i="13"/>
  <c r="O108" i="13"/>
  <c r="H108" i="13"/>
  <c r="I25" i="13"/>
  <c r="N25" i="13" s="1"/>
  <c r="L25" i="13"/>
  <c r="O107" i="13"/>
  <c r="H107" i="13"/>
  <c r="O37" i="13"/>
  <c r="H37" i="13"/>
  <c r="O36" i="13"/>
  <c r="H36" i="13"/>
  <c r="O104" i="13"/>
  <c r="H104" i="13"/>
  <c r="L27" i="13"/>
  <c r="I27" i="13"/>
  <c r="N27" i="13" s="1"/>
  <c r="O91" i="13"/>
  <c r="H91" i="13"/>
  <c r="O110" i="13"/>
  <c r="H110" i="13"/>
  <c r="O42" i="13"/>
  <c r="H42" i="13"/>
  <c r="O60" i="13"/>
  <c r="H60" i="13"/>
  <c r="O78" i="13"/>
  <c r="H78" i="13"/>
  <c r="H63" i="13"/>
  <c r="O63" i="13"/>
  <c r="H87" i="13"/>
  <c r="O87" i="13"/>
  <c r="O76" i="13"/>
  <c r="H76" i="13"/>
  <c r="L31" i="13"/>
  <c r="I31" i="13"/>
  <c r="N31" i="13" s="1"/>
  <c r="O98" i="13"/>
  <c r="H98" i="13"/>
  <c r="O58" i="13"/>
  <c r="H58" i="13"/>
  <c r="O62" i="13"/>
  <c r="H62" i="13"/>
  <c r="O61" i="13"/>
  <c r="H61" i="13"/>
  <c r="O59" i="13"/>
  <c r="H59" i="13"/>
  <c r="H44" i="13"/>
  <c r="O44" i="13"/>
  <c r="H103" i="13"/>
  <c r="O103" i="13"/>
  <c r="O49" i="13"/>
  <c r="H49" i="13"/>
  <c r="O96" i="13"/>
  <c r="H96" i="13"/>
  <c r="O57" i="13"/>
  <c r="H57" i="13"/>
  <c r="H72" i="13"/>
  <c r="O72" i="13"/>
  <c r="J94" i="14" l="1"/>
  <c r="K40" i="14"/>
  <c r="K41" i="14"/>
  <c r="J45" i="14"/>
  <c r="M36" i="14"/>
  <c r="L37" i="14"/>
  <c r="L38" i="14"/>
  <c r="K90" i="14"/>
  <c r="K89" i="14"/>
  <c r="K139" i="14"/>
  <c r="K138" i="14"/>
  <c r="L86" i="14"/>
  <c r="L87" i="14"/>
  <c r="M85" i="14"/>
  <c r="L135" i="14"/>
  <c r="M134" i="14"/>
  <c r="L136" i="14"/>
  <c r="J143" i="14"/>
  <c r="I30" i="13"/>
  <c r="N30" i="13" s="1"/>
  <c r="L11" i="13"/>
  <c r="L20" i="13"/>
  <c r="I15" i="13"/>
  <c r="N15" i="13" s="1"/>
  <c r="I16" i="13"/>
  <c r="N16" i="13" s="1"/>
  <c r="I28" i="13"/>
  <c r="N28" i="13" s="1"/>
  <c r="L14" i="13"/>
  <c r="I22" i="13"/>
  <c r="N22" i="13" s="1"/>
  <c r="I17" i="13"/>
  <c r="N17" i="13" s="1"/>
  <c r="Q4" i="13"/>
  <c r="I57" i="13"/>
  <c r="N57" i="13" s="1"/>
  <c r="L57" i="13"/>
  <c r="L49" i="13"/>
  <c r="I49" i="13"/>
  <c r="N49" i="13" s="1"/>
  <c r="I61" i="13"/>
  <c r="N61" i="13" s="1"/>
  <c r="L61" i="13"/>
  <c r="I58" i="13"/>
  <c r="N58" i="13" s="1"/>
  <c r="L58" i="13"/>
  <c r="L76" i="13"/>
  <c r="I76" i="13"/>
  <c r="N76" i="13" s="1"/>
  <c r="L42" i="13"/>
  <c r="I42" i="13"/>
  <c r="N42" i="13" s="1"/>
  <c r="I110" i="13"/>
  <c r="N110" i="13" s="1"/>
  <c r="L110" i="13"/>
  <c r="L36" i="13"/>
  <c r="I36" i="13"/>
  <c r="N36" i="13" s="1"/>
  <c r="L107" i="13"/>
  <c r="I107" i="13"/>
  <c r="N107" i="13" s="1"/>
  <c r="L108" i="13"/>
  <c r="I108" i="13"/>
  <c r="N108" i="13" s="1"/>
  <c r="L106" i="13"/>
  <c r="I106" i="13"/>
  <c r="N106" i="13" s="1"/>
  <c r="L97" i="13"/>
  <c r="I97" i="13"/>
  <c r="N97" i="13" s="1"/>
  <c r="L80" i="13"/>
  <c r="I80" i="13"/>
  <c r="N80" i="13" s="1"/>
  <c r="L86" i="13"/>
  <c r="I86" i="13"/>
  <c r="N86" i="13" s="1"/>
  <c r="L52" i="13"/>
  <c r="I52" i="13"/>
  <c r="N52" i="13" s="1"/>
  <c r="I69" i="13"/>
  <c r="N69" i="13" s="1"/>
  <c r="L69" i="13"/>
  <c r="I77" i="13"/>
  <c r="N77" i="13" s="1"/>
  <c r="L77" i="13"/>
  <c r="L75" i="13"/>
  <c r="I75" i="13"/>
  <c r="N75" i="13" s="1"/>
  <c r="I93" i="13"/>
  <c r="N93" i="13" s="1"/>
  <c r="L93" i="13"/>
  <c r="I53" i="13"/>
  <c r="N53" i="13" s="1"/>
  <c r="L53" i="13"/>
  <c r="L82" i="13"/>
  <c r="I82" i="13"/>
  <c r="N82" i="13" s="1"/>
  <c r="L50" i="13"/>
  <c r="I50" i="13"/>
  <c r="N50" i="13" s="1"/>
  <c r="L38" i="13"/>
  <c r="I38" i="13"/>
  <c r="N38" i="13" s="1"/>
  <c r="L44" i="13"/>
  <c r="I44" i="13"/>
  <c r="N44" i="13" s="1"/>
  <c r="L63" i="13"/>
  <c r="I63" i="13"/>
  <c r="N63" i="13" s="1"/>
  <c r="L100" i="13"/>
  <c r="I100" i="13"/>
  <c r="N100" i="13" s="1"/>
  <c r="L71" i="13"/>
  <c r="I71" i="13"/>
  <c r="N71" i="13" s="1"/>
  <c r="L51" i="13"/>
  <c r="I51" i="13"/>
  <c r="N51" i="13" s="1"/>
  <c r="L79" i="13"/>
  <c r="I79" i="13"/>
  <c r="N79" i="13" s="1"/>
  <c r="I99" i="13"/>
  <c r="N99" i="13" s="1"/>
  <c r="L99" i="13"/>
  <c r="I67" i="13"/>
  <c r="N67" i="13" s="1"/>
  <c r="L67" i="13"/>
  <c r="L55" i="13"/>
  <c r="I55" i="13"/>
  <c r="N55" i="13" s="1"/>
  <c r="I73" i="13"/>
  <c r="N73" i="13" s="1"/>
  <c r="L73" i="13"/>
  <c r="L56" i="13"/>
  <c r="I56" i="13"/>
  <c r="N56" i="13" s="1"/>
  <c r="L54" i="13"/>
  <c r="I54" i="13"/>
  <c r="N54" i="13" s="1"/>
  <c r="L102" i="13"/>
  <c r="I102" i="13"/>
  <c r="N102" i="13" s="1"/>
  <c r="I89" i="13"/>
  <c r="N89" i="13" s="1"/>
  <c r="L89" i="13"/>
  <c r="L40" i="13"/>
  <c r="I40" i="13"/>
  <c r="N40" i="13" s="1"/>
  <c r="L32" i="13"/>
  <c r="I32" i="13"/>
  <c r="N32" i="13" s="1"/>
  <c r="L64" i="13"/>
  <c r="I64" i="13"/>
  <c r="N64" i="13" s="1"/>
  <c r="L81" i="13"/>
  <c r="I81" i="13"/>
  <c r="N81" i="13" s="1"/>
  <c r="L96" i="13"/>
  <c r="I96" i="13"/>
  <c r="N96" i="13" s="1"/>
  <c r="L59" i="13"/>
  <c r="I59" i="13"/>
  <c r="N59" i="13" s="1"/>
  <c r="L62" i="13"/>
  <c r="I62" i="13"/>
  <c r="N62" i="13" s="1"/>
  <c r="L98" i="13"/>
  <c r="I98" i="13"/>
  <c r="N98" i="13" s="1"/>
  <c r="I78" i="13"/>
  <c r="N78" i="13" s="1"/>
  <c r="L78" i="13"/>
  <c r="L60" i="13"/>
  <c r="I60" i="13"/>
  <c r="N60" i="13" s="1"/>
  <c r="L91" i="13"/>
  <c r="I91" i="13"/>
  <c r="N91" i="13" s="1"/>
  <c r="L104" i="13"/>
  <c r="I104" i="13"/>
  <c r="N104" i="13" s="1"/>
  <c r="I37" i="13"/>
  <c r="N37" i="13" s="1"/>
  <c r="L37" i="13"/>
  <c r="L68" i="13"/>
  <c r="I68" i="13"/>
  <c r="N68" i="13" s="1"/>
  <c r="L83" i="13"/>
  <c r="I83" i="13"/>
  <c r="N83" i="13" s="1"/>
  <c r="L34" i="13"/>
  <c r="I34" i="13"/>
  <c r="N34" i="13" s="1"/>
  <c r="L74" i="13"/>
  <c r="I74" i="13"/>
  <c r="N74" i="13" s="1"/>
  <c r="I85" i="13"/>
  <c r="N85" i="13" s="1"/>
  <c r="L85" i="13"/>
  <c r="L33" i="13"/>
  <c r="I33" i="13"/>
  <c r="N33" i="13" s="1"/>
  <c r="L48" i="13"/>
  <c r="I48" i="13"/>
  <c r="N48" i="13" s="1"/>
  <c r="L66" i="13"/>
  <c r="I66" i="13"/>
  <c r="N66" i="13" s="1"/>
  <c r="N10" i="13"/>
  <c r="J10" i="13"/>
  <c r="L92" i="13"/>
  <c r="I92" i="13"/>
  <c r="N92" i="13" s="1"/>
  <c r="I46" i="13"/>
  <c r="N46" i="13" s="1"/>
  <c r="L46" i="13"/>
  <c r="L113" i="13"/>
  <c r="I113" i="13"/>
  <c r="N113" i="13" s="1"/>
  <c r="L65" i="13"/>
  <c r="I65" i="13"/>
  <c r="N65" i="13" s="1"/>
  <c r="I35" i="13"/>
  <c r="N35" i="13" s="1"/>
  <c r="L35" i="13"/>
  <c r="L39" i="13"/>
  <c r="I39" i="13"/>
  <c r="N39" i="13" s="1"/>
  <c r="L94" i="13"/>
  <c r="I94" i="13"/>
  <c r="N94" i="13" s="1"/>
  <c r="L114" i="13"/>
  <c r="I114" i="13"/>
  <c r="N114" i="13" s="1"/>
  <c r="L47" i="13"/>
  <c r="I47" i="13"/>
  <c r="N47" i="13" s="1"/>
  <c r="L72" i="13"/>
  <c r="I72" i="13"/>
  <c r="N72" i="13" s="1"/>
  <c r="L103" i="13"/>
  <c r="I103" i="13"/>
  <c r="N103" i="13" s="1"/>
  <c r="L87" i="13"/>
  <c r="I87" i="13"/>
  <c r="N87" i="13" s="1"/>
  <c r="L88" i="13"/>
  <c r="I88" i="13"/>
  <c r="N88" i="13" s="1"/>
  <c r="L95" i="13"/>
  <c r="I95" i="13"/>
  <c r="N95" i="13" s="1"/>
  <c r="I101" i="13"/>
  <c r="N101" i="13" s="1"/>
  <c r="L101" i="13"/>
  <c r="I45" i="13"/>
  <c r="N45" i="13" s="1"/>
  <c r="L45" i="13"/>
  <c r="L84" i="13"/>
  <c r="I84" i="13"/>
  <c r="N84" i="13" s="1"/>
  <c r="L70" i="13"/>
  <c r="I70" i="13"/>
  <c r="N70" i="13" s="1"/>
  <c r="L111" i="13"/>
  <c r="I111" i="13"/>
  <c r="N111" i="13" s="1"/>
  <c r="I105" i="13"/>
  <c r="N105" i="13" s="1"/>
  <c r="L105" i="13"/>
  <c r="L90" i="13"/>
  <c r="I90" i="13"/>
  <c r="N90" i="13" s="1"/>
  <c r="I41" i="13"/>
  <c r="N41" i="13" s="1"/>
  <c r="L41" i="13"/>
  <c r="I109" i="13"/>
  <c r="N109" i="13" s="1"/>
  <c r="L109" i="13"/>
  <c r="L43" i="13"/>
  <c r="I43" i="13"/>
  <c r="N43" i="13" s="1"/>
  <c r="L112" i="13"/>
  <c r="I112" i="13"/>
  <c r="N112" i="13" s="1"/>
  <c r="K143" i="14" l="1"/>
  <c r="K94" i="14"/>
  <c r="N134" i="14"/>
  <c r="M135" i="14"/>
  <c r="M136" i="14"/>
  <c r="M38" i="14"/>
  <c r="N36" i="14"/>
  <c r="M37" i="14"/>
  <c r="L40" i="14"/>
  <c r="L41" i="14"/>
  <c r="L138" i="14"/>
  <c r="L139" i="14"/>
  <c r="L90" i="14"/>
  <c r="L89" i="14"/>
  <c r="M87" i="14"/>
  <c r="N85" i="14"/>
  <c r="M86" i="14"/>
  <c r="K45" i="14"/>
  <c r="F63" i="3"/>
  <c r="G63" i="3"/>
  <c r="H63" i="3"/>
  <c r="O2" i="13"/>
  <c r="F80" i="1" s="1"/>
  <c r="K10" i="13"/>
  <c r="J11" i="13"/>
  <c r="N5" i="13"/>
  <c r="L94" i="14" l="1"/>
  <c r="M139" i="14"/>
  <c r="M138" i="14"/>
  <c r="L45" i="14"/>
  <c r="N87" i="14"/>
  <c r="O85" i="14"/>
  <c r="N86" i="14"/>
  <c r="M40" i="14"/>
  <c r="M41" i="14"/>
  <c r="M90" i="14"/>
  <c r="M89" i="14"/>
  <c r="L143" i="14"/>
  <c r="N38" i="14"/>
  <c r="O36" i="14"/>
  <c r="N37" i="14"/>
  <c r="N136" i="14"/>
  <c r="N135" i="14"/>
  <c r="O134" i="14"/>
  <c r="F62" i="3"/>
  <c r="E23" i="14" s="1"/>
  <c r="E39" i="14" s="1"/>
  <c r="G62" i="3"/>
  <c r="H62" i="3"/>
  <c r="K11" i="13"/>
  <c r="J12" i="13"/>
  <c r="M94" i="14" l="1"/>
  <c r="M143" i="14"/>
  <c r="N40" i="14"/>
  <c r="N41" i="14"/>
  <c r="N90" i="14"/>
  <c r="N89" i="14"/>
  <c r="N138" i="14"/>
  <c r="N139" i="14"/>
  <c r="M45" i="14"/>
  <c r="O135" i="14"/>
  <c r="O136" i="14"/>
  <c r="P134" i="14"/>
  <c r="O37" i="14"/>
  <c r="O39" i="14" s="1"/>
  <c r="O38" i="14"/>
  <c r="P36" i="14"/>
  <c r="O87" i="14"/>
  <c r="O86" i="14"/>
  <c r="P85" i="14"/>
  <c r="H64" i="3"/>
  <c r="H106" i="7" s="1"/>
  <c r="H108" i="7" s="1"/>
  <c r="H109" i="7" s="1"/>
  <c r="H112" i="7" s="1"/>
  <c r="E121" i="14"/>
  <c r="G64" i="3"/>
  <c r="H58" i="7" s="1"/>
  <c r="H60" i="7" s="1"/>
  <c r="H62" i="7" s="1"/>
  <c r="H63" i="7" s="1"/>
  <c r="H65" i="7" s="1"/>
  <c r="E72" i="14"/>
  <c r="F64" i="3"/>
  <c r="H10" i="7" s="1"/>
  <c r="H12" i="7" s="1"/>
  <c r="H13" i="7" s="1"/>
  <c r="H16" i="7" s="1"/>
  <c r="K12" i="13"/>
  <c r="J13" i="13"/>
  <c r="G39" i="14"/>
  <c r="G46" i="14" s="1"/>
  <c r="M39" i="14"/>
  <c r="H39" i="14"/>
  <c r="H46" i="14" s="1"/>
  <c r="K39" i="14"/>
  <c r="K46" i="14" s="1"/>
  <c r="L39" i="14"/>
  <c r="L46" i="14" s="1"/>
  <c r="E46" i="14"/>
  <c r="J39" i="14"/>
  <c r="J46" i="14" s="1"/>
  <c r="J48" i="14" s="1"/>
  <c r="N39" i="14"/>
  <c r="F39" i="14"/>
  <c r="F46" i="14" s="1"/>
  <c r="I39" i="14"/>
  <c r="I46" i="14" s="1"/>
  <c r="N94" i="14" l="1"/>
  <c r="M46" i="14"/>
  <c r="M48" i="14" s="1"/>
  <c r="P87" i="14"/>
  <c r="Q85" i="14"/>
  <c r="P86" i="14"/>
  <c r="P88" i="14" s="1"/>
  <c r="O41" i="14"/>
  <c r="O40" i="14"/>
  <c r="O90" i="14"/>
  <c r="O89" i="14"/>
  <c r="P135" i="14"/>
  <c r="P137" i="14" s="1"/>
  <c r="P136" i="14"/>
  <c r="Q134" i="14"/>
  <c r="P38" i="14"/>
  <c r="P37" i="14"/>
  <c r="P39" i="14" s="1"/>
  <c r="Q36" i="14"/>
  <c r="O139" i="14"/>
  <c r="O138" i="14"/>
  <c r="N143" i="14"/>
  <c r="N45" i="14"/>
  <c r="N46" i="14" s="1"/>
  <c r="H110" i="7"/>
  <c r="H111" i="7" s="1"/>
  <c r="H113" i="7" s="1"/>
  <c r="H117" i="7" s="1"/>
  <c r="H116" i="7" s="1"/>
  <c r="H118" i="7" s="1"/>
  <c r="H120" i="7" s="1"/>
  <c r="H126" i="7" s="1"/>
  <c r="H65" i="3" s="1"/>
  <c r="H66" i="3" s="1"/>
  <c r="H61" i="7"/>
  <c r="H64" i="7" s="1"/>
  <c r="H69" i="7" s="1"/>
  <c r="H68" i="7" s="1"/>
  <c r="H70" i="7" s="1"/>
  <c r="H72" i="7" s="1"/>
  <c r="H78" i="7" s="1"/>
  <c r="G65" i="3" s="1"/>
  <c r="G66" i="3" s="1"/>
  <c r="F137" i="14"/>
  <c r="F144" i="14" s="1"/>
  <c r="J137" i="14"/>
  <c r="J144" i="14" s="1"/>
  <c r="N137" i="14"/>
  <c r="I137" i="14"/>
  <c r="I144" i="14" s="1"/>
  <c r="G137" i="14"/>
  <c r="G144" i="14" s="1"/>
  <c r="K137" i="14"/>
  <c r="K144" i="14" s="1"/>
  <c r="O137" i="14"/>
  <c r="H137" i="14"/>
  <c r="H144" i="14" s="1"/>
  <c r="L137" i="14"/>
  <c r="L144" i="14" s="1"/>
  <c r="M137" i="14"/>
  <c r="M144" i="14" s="1"/>
  <c r="E137" i="14"/>
  <c r="E144" i="14" s="1"/>
  <c r="I88" i="14"/>
  <c r="I95" i="14" s="1"/>
  <c r="M88" i="14"/>
  <c r="M95" i="14" s="1"/>
  <c r="E88" i="14"/>
  <c r="E95" i="14" s="1"/>
  <c r="L88" i="14"/>
  <c r="L95" i="14" s="1"/>
  <c r="F88" i="14"/>
  <c r="F95" i="14" s="1"/>
  <c r="J88" i="14"/>
  <c r="J95" i="14" s="1"/>
  <c r="N88" i="14"/>
  <c r="G88" i="14"/>
  <c r="G95" i="14" s="1"/>
  <c r="K88" i="14"/>
  <c r="K95" i="14" s="1"/>
  <c r="O88" i="14"/>
  <c r="H88" i="14"/>
  <c r="H95" i="14" s="1"/>
  <c r="H14" i="7"/>
  <c r="H15" i="7" s="1"/>
  <c r="H17" i="7" s="1"/>
  <c r="H21" i="7" s="1"/>
  <c r="H20" i="7" s="1"/>
  <c r="H22" i="7" s="1"/>
  <c r="J49" i="14"/>
  <c r="J51" i="14" s="1"/>
  <c r="J52" i="14" s="1"/>
  <c r="H48" i="14"/>
  <c r="H49" i="14"/>
  <c r="G48" i="14"/>
  <c r="G49" i="14"/>
  <c r="J14" i="13"/>
  <c r="K13" i="13"/>
  <c r="E48" i="14"/>
  <c r="E49" i="14"/>
  <c r="F49" i="14"/>
  <c r="F48" i="14"/>
  <c r="L48" i="14"/>
  <c r="L49" i="14"/>
  <c r="I48" i="14"/>
  <c r="I49" i="14"/>
  <c r="K48" i="14"/>
  <c r="K49" i="14"/>
  <c r="N95" i="14" l="1"/>
  <c r="N98" i="14" s="1"/>
  <c r="N144" i="14"/>
  <c r="N146" i="14" s="1"/>
  <c r="M49" i="14"/>
  <c r="M51" i="14" s="1"/>
  <c r="O94" i="14"/>
  <c r="O95" i="14" s="1"/>
  <c r="N48" i="14"/>
  <c r="N49" i="14"/>
  <c r="O143" i="14"/>
  <c r="O144" i="14" s="1"/>
  <c r="O147" i="14" s="1"/>
  <c r="P41" i="14"/>
  <c r="P40" i="14"/>
  <c r="Q38" i="14"/>
  <c r="R36" i="14"/>
  <c r="Q37" i="14"/>
  <c r="Q39" i="14" s="1"/>
  <c r="Q135" i="14"/>
  <c r="Q137" i="14" s="1"/>
  <c r="R134" i="14"/>
  <c r="Q136" i="14"/>
  <c r="R85" i="14"/>
  <c r="Q87" i="14"/>
  <c r="Q86" i="14"/>
  <c r="Q88" i="14" s="1"/>
  <c r="P138" i="14"/>
  <c r="P139" i="14"/>
  <c r="O45" i="14"/>
  <c r="O46" i="14" s="1"/>
  <c r="O48" i="14" s="1"/>
  <c r="P89" i="14"/>
  <c r="P90" i="14"/>
  <c r="H147" i="14"/>
  <c r="H146" i="14"/>
  <c r="I147" i="14"/>
  <c r="I146" i="14"/>
  <c r="J147" i="14"/>
  <c r="J146" i="14"/>
  <c r="K98" i="14"/>
  <c r="K97" i="14"/>
  <c r="M146" i="14"/>
  <c r="M147" i="14"/>
  <c r="M98" i="14"/>
  <c r="M97" i="14"/>
  <c r="J98" i="14"/>
  <c r="J97" i="14"/>
  <c r="E98" i="14"/>
  <c r="E97" i="14"/>
  <c r="I98" i="14"/>
  <c r="I97" i="14"/>
  <c r="K147" i="14"/>
  <c r="K146" i="14"/>
  <c r="F147" i="14"/>
  <c r="F146" i="14"/>
  <c r="H98" i="14"/>
  <c r="H97" i="14"/>
  <c r="L147" i="14"/>
  <c r="L146" i="14"/>
  <c r="G98" i="14"/>
  <c r="G97" i="14"/>
  <c r="L98" i="14"/>
  <c r="L97" i="14"/>
  <c r="F98" i="14"/>
  <c r="F97" i="14"/>
  <c r="E147" i="14"/>
  <c r="E146" i="14"/>
  <c r="G147" i="14"/>
  <c r="G146" i="14"/>
  <c r="H24" i="7"/>
  <c r="H30" i="7" s="1"/>
  <c r="F65" i="3" s="1"/>
  <c r="F66" i="3" s="1"/>
  <c r="F93" i="1" s="1"/>
  <c r="F51" i="14"/>
  <c r="J53" i="14"/>
  <c r="J55" i="14" s="1"/>
  <c r="I51" i="14"/>
  <c r="G51" i="14"/>
  <c r="K51" i="14"/>
  <c r="L51" i="14"/>
  <c r="E51" i="14"/>
  <c r="K14" i="13"/>
  <c r="J15" i="13"/>
  <c r="H51" i="14"/>
  <c r="N97" i="14" l="1"/>
  <c r="N100" i="14" s="1"/>
  <c r="N101" i="14" s="1"/>
  <c r="N102" i="14" s="1"/>
  <c r="N104" i="14" s="1"/>
  <c r="N147" i="14"/>
  <c r="N149" i="14" s="1"/>
  <c r="N150" i="14" s="1"/>
  <c r="N151" i="14" s="1"/>
  <c r="N153" i="14" s="1"/>
  <c r="O98" i="14"/>
  <c r="O97" i="14"/>
  <c r="O49" i="14"/>
  <c r="O51" i="14" s="1"/>
  <c r="O52" i="14" s="1"/>
  <c r="O53" i="14" s="1"/>
  <c r="O55" i="14" s="1"/>
  <c r="N51" i="14"/>
  <c r="N52" i="14" s="1"/>
  <c r="N53" i="14" s="1"/>
  <c r="N55" i="14" s="1"/>
  <c r="P45" i="14"/>
  <c r="P46" i="14" s="1"/>
  <c r="O146" i="14"/>
  <c r="O149" i="14" s="1"/>
  <c r="O150" i="14" s="1"/>
  <c r="O151" i="14" s="1"/>
  <c r="P143" i="14"/>
  <c r="P144" i="14" s="1"/>
  <c r="R87" i="14"/>
  <c r="S85" i="14"/>
  <c r="R86" i="14"/>
  <c r="R88" i="14" s="1"/>
  <c r="P94" i="14"/>
  <c r="P95" i="14" s="1"/>
  <c r="Q138" i="14"/>
  <c r="Q139" i="14"/>
  <c r="S36" i="14"/>
  <c r="R38" i="14"/>
  <c r="R37" i="14"/>
  <c r="R39" i="14" s="1"/>
  <c r="Q90" i="14"/>
  <c r="Q89" i="14"/>
  <c r="R136" i="14"/>
  <c r="R135" i="14"/>
  <c r="R137" i="14" s="1"/>
  <c r="S134" i="14"/>
  <c r="Q40" i="14"/>
  <c r="Q41" i="14"/>
  <c r="E149" i="14"/>
  <c r="E150" i="14" s="1"/>
  <c r="E151" i="14" s="1"/>
  <c r="G149" i="14"/>
  <c r="G150" i="14" s="1"/>
  <c r="G151" i="14" s="1"/>
  <c r="G153" i="14" s="1"/>
  <c r="L149" i="14"/>
  <c r="L150" i="14" s="1"/>
  <c r="L151" i="14" s="1"/>
  <c r="L153" i="14" s="1"/>
  <c r="F149" i="14"/>
  <c r="F150" i="14" s="1"/>
  <c r="F151" i="14" s="1"/>
  <c r="F153" i="14" s="1"/>
  <c r="K149" i="14"/>
  <c r="K150" i="14" s="1"/>
  <c r="K151" i="14" s="1"/>
  <c r="J149" i="14"/>
  <c r="J150" i="14" s="1"/>
  <c r="J151" i="14" s="1"/>
  <c r="J153" i="14" s="1"/>
  <c r="I149" i="14"/>
  <c r="I150" i="14" s="1"/>
  <c r="I151" i="14" s="1"/>
  <c r="I153" i="14" s="1"/>
  <c r="G100" i="14"/>
  <c r="G101" i="14" s="1"/>
  <c r="G102" i="14" s="1"/>
  <c r="G104" i="14" s="1"/>
  <c r="E100" i="14"/>
  <c r="E101" i="14" s="1"/>
  <c r="E102" i="14" s="1"/>
  <c r="E104" i="14" s="1"/>
  <c r="E105" i="14" s="1"/>
  <c r="E108" i="14" s="1"/>
  <c r="K100" i="14"/>
  <c r="K101" i="14" s="1"/>
  <c r="K102" i="14" s="1"/>
  <c r="K104" i="14" s="1"/>
  <c r="F100" i="14"/>
  <c r="F101" i="14" s="1"/>
  <c r="F102" i="14" s="1"/>
  <c r="F104" i="14" s="1"/>
  <c r="L100" i="14"/>
  <c r="L101" i="14" s="1"/>
  <c r="L102" i="14" s="1"/>
  <c r="L104" i="14" s="1"/>
  <c r="H100" i="14"/>
  <c r="H101" i="14" s="1"/>
  <c r="H102" i="14" s="1"/>
  <c r="H104" i="14" s="1"/>
  <c r="I100" i="14"/>
  <c r="I101" i="14" s="1"/>
  <c r="I102" i="14" s="1"/>
  <c r="I104" i="14" s="1"/>
  <c r="J100" i="14"/>
  <c r="J101" i="14" s="1"/>
  <c r="J102" i="14" s="1"/>
  <c r="J104" i="14" s="1"/>
  <c r="M100" i="14"/>
  <c r="M101" i="14" s="1"/>
  <c r="M102" i="14" s="1"/>
  <c r="M104" i="14" s="1"/>
  <c r="H149" i="14"/>
  <c r="M149" i="14"/>
  <c r="L52" i="14"/>
  <c r="L53" i="14" s="1"/>
  <c r="L55" i="14" s="1"/>
  <c r="I52" i="14"/>
  <c r="I53" i="14" s="1"/>
  <c r="I55" i="14" s="1"/>
  <c r="F52" i="14"/>
  <c r="F53" i="14" s="1"/>
  <c r="F55" i="14" s="1"/>
  <c r="M52" i="14"/>
  <c r="M53" i="14" s="1"/>
  <c r="M55" i="14" s="1"/>
  <c r="H52" i="14"/>
  <c r="H53" i="14" s="1"/>
  <c r="H55" i="14" s="1"/>
  <c r="K52" i="14"/>
  <c r="K53" i="14" s="1"/>
  <c r="K55" i="14" s="1"/>
  <c r="G52" i="14"/>
  <c r="G53" i="14" s="1"/>
  <c r="G55" i="14" s="1"/>
  <c r="E52" i="14"/>
  <c r="E53" i="14" s="1"/>
  <c r="E55" i="14" s="1"/>
  <c r="K15" i="13"/>
  <c r="J16" i="13"/>
  <c r="O100" i="14" l="1"/>
  <c r="O101" i="14" s="1"/>
  <c r="O102" i="14" s="1"/>
  <c r="O104" i="14" s="1"/>
  <c r="O105" i="14" s="1"/>
  <c r="O108" i="14" s="1"/>
  <c r="Q94" i="14"/>
  <c r="Q95" i="14" s="1"/>
  <c r="Q97" i="14" s="1"/>
  <c r="Q143" i="14"/>
  <c r="Q144" i="14" s="1"/>
  <c r="Q146" i="14" s="1"/>
  <c r="P48" i="14"/>
  <c r="P49" i="14"/>
  <c r="R138" i="14"/>
  <c r="R139" i="14"/>
  <c r="Q45" i="14"/>
  <c r="Q46" i="14" s="1"/>
  <c r="R41" i="14"/>
  <c r="R40" i="14"/>
  <c r="P97" i="14"/>
  <c r="P98" i="14"/>
  <c r="P146" i="14"/>
  <c r="P147" i="14"/>
  <c r="S135" i="14"/>
  <c r="S137" i="14" s="1"/>
  <c r="T134" i="14"/>
  <c r="S136" i="14"/>
  <c r="S37" i="14"/>
  <c r="S39" i="14" s="1"/>
  <c r="T36" i="14"/>
  <c r="S38" i="14"/>
  <c r="R90" i="14"/>
  <c r="R89" i="14"/>
  <c r="S87" i="14"/>
  <c r="S86" i="14"/>
  <c r="S88" i="14" s="1"/>
  <c r="T85" i="14"/>
  <c r="H105" i="14"/>
  <c r="H108" i="14" s="1"/>
  <c r="F106" i="14"/>
  <c r="F109" i="14" s="1"/>
  <c r="F105" i="14"/>
  <c r="F108" i="14" s="1"/>
  <c r="K105" i="14"/>
  <c r="K108" i="14" s="1"/>
  <c r="G105" i="14"/>
  <c r="G108" i="14" s="1"/>
  <c r="H106" i="14"/>
  <c r="H109" i="14" s="1"/>
  <c r="G106" i="14"/>
  <c r="G109" i="14" s="1"/>
  <c r="M105" i="14"/>
  <c r="M108" i="14" s="1"/>
  <c r="N105" i="14"/>
  <c r="N108" i="14" s="1"/>
  <c r="M106" i="14"/>
  <c r="M109" i="14" s="1"/>
  <c r="J106" i="14"/>
  <c r="J109" i="14" s="1"/>
  <c r="I105" i="14"/>
  <c r="I108" i="14" s="1"/>
  <c r="L106" i="14"/>
  <c r="L109" i="14" s="1"/>
  <c r="K106" i="14"/>
  <c r="K109" i="14" s="1"/>
  <c r="L105" i="14"/>
  <c r="L108" i="14" s="1"/>
  <c r="J105" i="14"/>
  <c r="J108" i="14" s="1"/>
  <c r="I106" i="14"/>
  <c r="I109" i="14" s="1"/>
  <c r="J154" i="14"/>
  <c r="J157" i="14" s="1"/>
  <c r="K153" i="14"/>
  <c r="E153" i="14"/>
  <c r="E154" i="14" s="1"/>
  <c r="E157" i="14" s="1"/>
  <c r="G154" i="14"/>
  <c r="G157" i="14" s="1"/>
  <c r="O153" i="14"/>
  <c r="H150" i="14"/>
  <c r="H151" i="14" s="1"/>
  <c r="H153" i="14" s="1"/>
  <c r="I155" i="14"/>
  <c r="I158" i="14" s="1"/>
  <c r="F155" i="14"/>
  <c r="F158" i="14" s="1"/>
  <c r="M150" i="14"/>
  <c r="M151" i="14" s="1"/>
  <c r="O56" i="14"/>
  <c r="O59" i="14" s="1"/>
  <c r="L56" i="14"/>
  <c r="L59" i="14" s="1"/>
  <c r="L57" i="14"/>
  <c r="L60" i="14" s="1"/>
  <c r="G57" i="14"/>
  <c r="G60" i="14" s="1"/>
  <c r="G56" i="14"/>
  <c r="G59" i="14" s="1"/>
  <c r="M57" i="14"/>
  <c r="M60" i="14" s="1"/>
  <c r="M56" i="14"/>
  <c r="M59" i="14" s="1"/>
  <c r="N57" i="14"/>
  <c r="N60" i="14" s="1"/>
  <c r="N56" i="14"/>
  <c r="N59" i="14" s="1"/>
  <c r="J57" i="14"/>
  <c r="J60" i="14" s="1"/>
  <c r="K56" i="14"/>
  <c r="K59" i="14" s="1"/>
  <c r="K57" i="14"/>
  <c r="K60" i="14" s="1"/>
  <c r="F57" i="14"/>
  <c r="F60" i="14" s="1"/>
  <c r="H56" i="14"/>
  <c r="H59" i="14" s="1"/>
  <c r="H57" i="14"/>
  <c r="H60" i="14" s="1"/>
  <c r="I56" i="14"/>
  <c r="I59" i="14" s="1"/>
  <c r="J56" i="14"/>
  <c r="J59" i="14" s="1"/>
  <c r="I57" i="14"/>
  <c r="I60" i="14" s="1"/>
  <c r="E56" i="14"/>
  <c r="E59" i="14" s="1"/>
  <c r="F56" i="14"/>
  <c r="F59" i="14" s="1"/>
  <c r="K16" i="13"/>
  <c r="J17" i="13"/>
  <c r="Q98" i="14" l="1"/>
  <c r="Q100" i="14" s="1"/>
  <c r="Q101" i="14" s="1"/>
  <c r="Q102" i="14" s="1"/>
  <c r="Q104" i="14" s="1"/>
  <c r="N106" i="14"/>
  <c r="N109" i="14" s="1"/>
  <c r="Q147" i="14"/>
  <c r="P149" i="14"/>
  <c r="P150" i="14" s="1"/>
  <c r="P151" i="14" s="1"/>
  <c r="P153" i="14" s="1"/>
  <c r="O155" i="14" s="1"/>
  <c r="O158" i="14" s="1"/>
  <c r="R143" i="14"/>
  <c r="R144" i="14" s="1"/>
  <c r="R147" i="14" s="1"/>
  <c r="P51" i="14"/>
  <c r="P52" i="14" s="1"/>
  <c r="P53" i="14" s="1"/>
  <c r="P55" i="14" s="1"/>
  <c r="O57" i="14" s="1"/>
  <c r="O60" i="14" s="1"/>
  <c r="R94" i="14"/>
  <c r="R95" i="14" s="1"/>
  <c r="R98" i="14" s="1"/>
  <c r="T86" i="14"/>
  <c r="T88" i="14" s="1"/>
  <c r="T87" i="14"/>
  <c r="U85" i="14"/>
  <c r="T37" i="14"/>
  <c r="T39" i="14" s="1"/>
  <c r="U36" i="14"/>
  <c r="T38" i="14"/>
  <c r="P100" i="14"/>
  <c r="P101" i="14" s="1"/>
  <c r="P102" i="14" s="1"/>
  <c r="P104" i="14" s="1"/>
  <c r="S90" i="14"/>
  <c r="S89" i="14"/>
  <c r="S139" i="14"/>
  <c r="S138" i="14"/>
  <c r="S41" i="14"/>
  <c r="S40" i="14"/>
  <c r="T135" i="14"/>
  <c r="T137" i="14" s="1"/>
  <c r="U134" i="14"/>
  <c r="T136" i="14"/>
  <c r="R45" i="14"/>
  <c r="R46" i="14" s="1"/>
  <c r="Q48" i="14"/>
  <c r="Q49" i="14"/>
  <c r="Q149" i="14"/>
  <c r="Q150" i="14" s="1"/>
  <c r="Q151" i="14" s="1"/>
  <c r="Q153" i="14" s="1"/>
  <c r="F154" i="14"/>
  <c r="F157" i="14" s="1"/>
  <c r="M153" i="14"/>
  <c r="H154" i="14"/>
  <c r="H157" i="14" s="1"/>
  <c r="H155" i="14"/>
  <c r="H158" i="14" s="1"/>
  <c r="O154" i="14"/>
  <c r="O157" i="14" s="1"/>
  <c r="K154" i="14"/>
  <c r="K157" i="14" s="1"/>
  <c r="K155" i="14"/>
  <c r="K158" i="14" s="1"/>
  <c r="I154" i="14"/>
  <c r="I157" i="14" s="1"/>
  <c r="N155" i="14"/>
  <c r="N158" i="14" s="1"/>
  <c r="J155" i="14"/>
  <c r="J158" i="14" s="1"/>
  <c r="G155" i="14"/>
  <c r="G158" i="14" s="1"/>
  <c r="L154" i="14"/>
  <c r="L157" i="14" s="1"/>
  <c r="K17" i="13"/>
  <c r="J18" i="13"/>
  <c r="P155" i="14" l="1"/>
  <c r="P158" i="14" s="1"/>
  <c r="P154" i="14"/>
  <c r="P157" i="14" s="1"/>
  <c r="R97" i="14"/>
  <c r="R100" i="14" s="1"/>
  <c r="R101" i="14" s="1"/>
  <c r="R102" i="14" s="1"/>
  <c r="R104" i="14" s="1"/>
  <c r="R105" i="14" s="1"/>
  <c r="R108" i="14" s="1"/>
  <c r="R146" i="14"/>
  <c r="R149" i="14" s="1"/>
  <c r="R150" i="14" s="1"/>
  <c r="R151" i="14" s="1"/>
  <c r="R153" i="14" s="1"/>
  <c r="R154" i="14" s="1"/>
  <c r="R157" i="14" s="1"/>
  <c r="P56" i="14"/>
  <c r="P59" i="14" s="1"/>
  <c r="Q154" i="14"/>
  <c r="Q157" i="14" s="1"/>
  <c r="R48" i="14"/>
  <c r="R49" i="14"/>
  <c r="T40" i="14"/>
  <c r="T41" i="14"/>
  <c r="T90" i="14"/>
  <c r="T89" i="14"/>
  <c r="S45" i="14"/>
  <c r="S46" i="14" s="1"/>
  <c r="Q105" i="14"/>
  <c r="Q108" i="14" s="1"/>
  <c r="V36" i="14"/>
  <c r="U38" i="14"/>
  <c r="U37" i="14"/>
  <c r="U39" i="14" s="1"/>
  <c r="P106" i="14"/>
  <c r="P109" i="14" s="1"/>
  <c r="O106" i="14"/>
  <c r="O109" i="14" s="1"/>
  <c r="P105" i="14"/>
  <c r="P108" i="14" s="1"/>
  <c r="T139" i="14"/>
  <c r="T138" i="14"/>
  <c r="Q51" i="14"/>
  <c r="Q52" i="14" s="1"/>
  <c r="Q53" i="14" s="1"/>
  <c r="Q55" i="14" s="1"/>
  <c r="P57" i="14" s="1"/>
  <c r="P60" i="14" s="1"/>
  <c r="V134" i="14"/>
  <c r="U136" i="14"/>
  <c r="U135" i="14"/>
  <c r="U137" i="14" s="1"/>
  <c r="S143" i="14"/>
  <c r="S144" i="14" s="1"/>
  <c r="S94" i="14"/>
  <c r="S95" i="14" s="1"/>
  <c r="U87" i="14"/>
  <c r="U86" i="14"/>
  <c r="U88" i="14" s="1"/>
  <c r="V85" i="14"/>
  <c r="M155" i="14"/>
  <c r="M158" i="14" s="1"/>
  <c r="M154" i="14"/>
  <c r="M157" i="14" s="1"/>
  <c r="N154" i="14"/>
  <c r="N157" i="14" s="1"/>
  <c r="L155" i="14"/>
  <c r="L158" i="14" s="1"/>
  <c r="K18" i="13"/>
  <c r="J19" i="13"/>
  <c r="Q155" i="14" l="1"/>
  <c r="Q158" i="14" s="1"/>
  <c r="T94" i="14"/>
  <c r="T95" i="14" s="1"/>
  <c r="T98" i="14" s="1"/>
  <c r="R51" i="14"/>
  <c r="R52" i="14" s="1"/>
  <c r="R53" i="14" s="1"/>
  <c r="R55" i="14" s="1"/>
  <c r="Q57" i="14" s="1"/>
  <c r="Q60" i="14" s="1"/>
  <c r="Q106" i="14"/>
  <c r="Q109" i="14" s="1"/>
  <c r="Q56" i="14"/>
  <c r="Q59" i="14" s="1"/>
  <c r="U139" i="14"/>
  <c r="U138" i="14"/>
  <c r="S98" i="14"/>
  <c r="S97" i="14"/>
  <c r="W134" i="14"/>
  <c r="V135" i="14"/>
  <c r="V137" i="14" s="1"/>
  <c r="V136" i="14"/>
  <c r="U41" i="14"/>
  <c r="U40" i="14"/>
  <c r="S48" i="14"/>
  <c r="S49" i="14"/>
  <c r="T45" i="14"/>
  <c r="T46" i="14" s="1"/>
  <c r="V38" i="14"/>
  <c r="W36" i="14"/>
  <c r="V37" i="14"/>
  <c r="V39" i="14" s="1"/>
  <c r="U89" i="14"/>
  <c r="U90" i="14"/>
  <c r="V86" i="14"/>
  <c r="V88" i="14" s="1"/>
  <c r="V87" i="14"/>
  <c r="W85" i="14"/>
  <c r="S147" i="14"/>
  <c r="S146" i="14"/>
  <c r="T143" i="14"/>
  <c r="T144" i="14" s="1"/>
  <c r="K19" i="13"/>
  <c r="J20" i="13"/>
  <c r="T97" i="14" l="1"/>
  <c r="T100" i="14" s="1"/>
  <c r="T101" i="14" s="1"/>
  <c r="T102" i="14" s="1"/>
  <c r="T104" i="14" s="1"/>
  <c r="U45" i="14"/>
  <c r="U46" i="14" s="1"/>
  <c r="U49" i="14" s="1"/>
  <c r="S149" i="14"/>
  <c r="S150" i="14" s="1"/>
  <c r="S151" i="14" s="1"/>
  <c r="S153" i="14" s="1"/>
  <c r="R155" i="14" s="1"/>
  <c r="R158" i="14" s="1"/>
  <c r="U143" i="14"/>
  <c r="U144" i="14" s="1"/>
  <c r="U147" i="14" s="1"/>
  <c r="R56" i="14"/>
  <c r="R59" i="14" s="1"/>
  <c r="U94" i="14"/>
  <c r="U95" i="14" s="1"/>
  <c r="U97" i="14" s="1"/>
  <c r="S51" i="14"/>
  <c r="S52" i="14" s="1"/>
  <c r="S53" i="14" s="1"/>
  <c r="S55" i="14" s="1"/>
  <c r="S56" i="14" s="1"/>
  <c r="S59" i="14" s="1"/>
  <c r="W136" i="14"/>
  <c r="W135" i="14"/>
  <c r="W137" i="14" s="1"/>
  <c r="X134" i="14"/>
  <c r="T146" i="14"/>
  <c r="T147" i="14"/>
  <c r="T49" i="14"/>
  <c r="T48" i="14"/>
  <c r="S100" i="14"/>
  <c r="S101" i="14" s="1"/>
  <c r="S102" i="14" s="1"/>
  <c r="S104" i="14" s="1"/>
  <c r="W86" i="14"/>
  <c r="W88" i="14" s="1"/>
  <c r="X85" i="14"/>
  <c r="W87" i="14"/>
  <c r="W37" i="14"/>
  <c r="W39" i="14" s="1"/>
  <c r="X36" i="14"/>
  <c r="W38" i="14"/>
  <c r="V138" i="14"/>
  <c r="V139" i="14"/>
  <c r="V90" i="14"/>
  <c r="V89" i="14"/>
  <c r="V41" i="14"/>
  <c r="V40" i="14"/>
  <c r="K20" i="13"/>
  <c r="J21" i="13"/>
  <c r="U48" i="14" l="1"/>
  <c r="U51" i="14" s="1"/>
  <c r="U52" i="14" s="1"/>
  <c r="U53" i="14" s="1"/>
  <c r="U55" i="14" s="1"/>
  <c r="U146" i="14"/>
  <c r="U149" i="14" s="1"/>
  <c r="U150" i="14" s="1"/>
  <c r="U151" i="14" s="1"/>
  <c r="U153" i="14" s="1"/>
  <c r="S154" i="14"/>
  <c r="S157" i="14" s="1"/>
  <c r="U98" i="14"/>
  <c r="U100" i="14" s="1"/>
  <c r="U101" i="14" s="1"/>
  <c r="U102" i="14" s="1"/>
  <c r="U104" i="14" s="1"/>
  <c r="T149" i="14"/>
  <c r="T150" i="14" s="1"/>
  <c r="T151" i="14" s="1"/>
  <c r="T153" i="14" s="1"/>
  <c r="S155" i="14" s="1"/>
  <c r="S158" i="14" s="1"/>
  <c r="T105" i="14"/>
  <c r="T108" i="14" s="1"/>
  <c r="V143" i="14"/>
  <c r="V144" i="14" s="1"/>
  <c r="V147" i="14" s="1"/>
  <c r="V45" i="14"/>
  <c r="V46" i="14" s="1"/>
  <c r="V49" i="14" s="1"/>
  <c r="R57" i="14"/>
  <c r="R60" i="14" s="1"/>
  <c r="S106" i="14"/>
  <c r="S109" i="14" s="1"/>
  <c r="S105" i="14"/>
  <c r="S108" i="14" s="1"/>
  <c r="R106" i="14"/>
  <c r="R109" i="14" s="1"/>
  <c r="V94" i="14"/>
  <c r="V95" i="14" s="1"/>
  <c r="W89" i="14"/>
  <c r="W90" i="14"/>
  <c r="W139" i="14"/>
  <c r="W138" i="14"/>
  <c r="W41" i="14"/>
  <c r="W40" i="14"/>
  <c r="X87" i="14"/>
  <c r="X86" i="14"/>
  <c r="X88" i="14" s="1"/>
  <c r="X38" i="14"/>
  <c r="X37" i="14"/>
  <c r="X39" i="14" s="1"/>
  <c r="T51" i="14"/>
  <c r="T52" i="14" s="1"/>
  <c r="T53" i="14" s="1"/>
  <c r="T55" i="14" s="1"/>
  <c r="T56" i="14" s="1"/>
  <c r="T59" i="14" s="1"/>
  <c r="X135" i="14"/>
  <c r="X137" i="14" s="1"/>
  <c r="X136" i="14"/>
  <c r="J22" i="13"/>
  <c r="K21" i="13"/>
  <c r="V146" i="14" l="1"/>
  <c r="V149" i="14" s="1"/>
  <c r="V150" i="14" s="1"/>
  <c r="V151" i="14" s="1"/>
  <c r="V153" i="14" s="1"/>
  <c r="V154" i="14" s="1"/>
  <c r="V157" i="14" s="1"/>
  <c r="T155" i="14"/>
  <c r="T158" i="14" s="1"/>
  <c r="V48" i="14"/>
  <c r="V51" i="14" s="1"/>
  <c r="V52" i="14" s="1"/>
  <c r="V53" i="14" s="1"/>
  <c r="V55" i="14" s="1"/>
  <c r="U57" i="14" s="1"/>
  <c r="U60" i="14" s="1"/>
  <c r="W143" i="14"/>
  <c r="W144" i="14" s="1"/>
  <c r="W147" i="14" s="1"/>
  <c r="T154" i="14"/>
  <c r="T157" i="14" s="1"/>
  <c r="W94" i="14"/>
  <c r="W95" i="14" s="1"/>
  <c r="W97" i="14" s="1"/>
  <c r="W45" i="14"/>
  <c r="W46" i="14" s="1"/>
  <c r="S57" i="14"/>
  <c r="S60" i="14" s="1"/>
  <c r="U105" i="14"/>
  <c r="U108" i="14" s="1"/>
  <c r="T106" i="14"/>
  <c r="T109" i="14" s="1"/>
  <c r="X41" i="14"/>
  <c r="X40" i="14"/>
  <c r="X90" i="14"/>
  <c r="X89" i="14"/>
  <c r="V97" i="14"/>
  <c r="V98" i="14"/>
  <c r="X138" i="14"/>
  <c r="X139" i="14"/>
  <c r="U154" i="14"/>
  <c r="U157" i="14" s="1"/>
  <c r="U56" i="14"/>
  <c r="U59" i="14" s="1"/>
  <c r="T57" i="14"/>
  <c r="T60" i="14" s="1"/>
  <c r="K22" i="13"/>
  <c r="J23" i="13"/>
  <c r="W146" i="14" l="1"/>
  <c r="W149" i="14" s="1"/>
  <c r="W150" i="14" s="1"/>
  <c r="W151" i="14" s="1"/>
  <c r="W153" i="14" s="1"/>
  <c r="V155" i="14" s="1"/>
  <c r="V158" i="14" s="1"/>
  <c r="W98" i="14"/>
  <c r="W100" i="14" s="1"/>
  <c r="W101" i="14" s="1"/>
  <c r="W102" i="14" s="1"/>
  <c r="W104" i="14" s="1"/>
  <c r="U155" i="14"/>
  <c r="U158" i="14" s="1"/>
  <c r="V56" i="14"/>
  <c r="V59" i="14" s="1"/>
  <c r="X45" i="14"/>
  <c r="X46" i="14" s="1"/>
  <c r="X48" i="14" s="1"/>
  <c r="X94" i="14"/>
  <c r="X95" i="14" s="1"/>
  <c r="X98" i="14" s="1"/>
  <c r="W48" i="14"/>
  <c r="W49" i="14"/>
  <c r="V100" i="14"/>
  <c r="V101" i="14" s="1"/>
  <c r="V102" i="14" s="1"/>
  <c r="V104" i="14" s="1"/>
  <c r="X143" i="14"/>
  <c r="X144" i="14" s="1"/>
  <c r="K23" i="13"/>
  <c r="J24" i="13"/>
  <c r="X49" i="14" l="1"/>
  <c r="X51" i="14" s="1"/>
  <c r="X52" i="14" s="1"/>
  <c r="X53" i="14" s="1"/>
  <c r="X55" i="14" s="1"/>
  <c r="X57" i="14" s="1"/>
  <c r="X60" i="14" s="1"/>
  <c r="X97" i="14"/>
  <c r="X100" i="14" s="1"/>
  <c r="X101" i="14" s="1"/>
  <c r="X102" i="14" s="1"/>
  <c r="X104" i="14" s="1"/>
  <c r="W154" i="14"/>
  <c r="W157" i="14" s="1"/>
  <c r="W51" i="14"/>
  <c r="W52" i="14" s="1"/>
  <c r="W53" i="14" s="1"/>
  <c r="W55" i="14" s="1"/>
  <c r="V105" i="14"/>
  <c r="V108" i="14" s="1"/>
  <c r="V106" i="14"/>
  <c r="V109" i="14" s="1"/>
  <c r="U106" i="14"/>
  <c r="U109" i="14" s="1"/>
  <c r="W105" i="14"/>
  <c r="W108" i="14" s="1"/>
  <c r="X146" i="14"/>
  <c r="X147" i="14"/>
  <c r="J25" i="13"/>
  <c r="K24" i="13"/>
  <c r="W57" i="14" l="1"/>
  <c r="W60" i="14" s="1"/>
  <c r="X149" i="14"/>
  <c r="X150" i="14" s="1"/>
  <c r="X151" i="14" s="1"/>
  <c r="X153" i="14" s="1"/>
  <c r="X154" i="14" s="1"/>
  <c r="X157" i="14" s="1"/>
  <c r="I127" i="14" s="1"/>
  <c r="J127" i="14" s="1"/>
  <c r="V57" i="14"/>
  <c r="V60" i="14" s="1"/>
  <c r="X56" i="14"/>
  <c r="X59" i="14" s="1"/>
  <c r="W56" i="14"/>
  <c r="W59" i="14" s="1"/>
  <c r="X106" i="14"/>
  <c r="X109" i="14" s="1"/>
  <c r="X105" i="14"/>
  <c r="X108" i="14" s="1"/>
  <c r="I78" i="14" s="1"/>
  <c r="J78" i="14" s="1"/>
  <c r="W106" i="14"/>
  <c r="W109" i="14" s="1"/>
  <c r="K25" i="13"/>
  <c r="J26" i="13"/>
  <c r="I29" i="14" l="1"/>
  <c r="J29" i="14" s="1"/>
  <c r="F87" i="1" s="1"/>
  <c r="W155" i="14"/>
  <c r="W158" i="14" s="1"/>
  <c r="X155" i="14"/>
  <c r="X158" i="14" s="1"/>
  <c r="I30" i="14"/>
  <c r="J30" i="14" s="1"/>
  <c r="I79" i="14"/>
  <c r="J79" i="14" s="1"/>
  <c r="K26" i="13"/>
  <c r="J27" i="13"/>
  <c r="F88" i="1" l="1"/>
  <c r="I128" i="14"/>
  <c r="J128" i="14" s="1"/>
  <c r="K27" i="13"/>
  <c r="J28" i="13"/>
  <c r="K28" i="13" l="1"/>
  <c r="J29" i="13"/>
  <c r="J30" i="13" l="1"/>
  <c r="K29" i="13"/>
  <c r="K30" i="13" l="1"/>
  <c r="J31" i="13"/>
  <c r="K31" i="13" l="1"/>
  <c r="J32" i="13"/>
  <c r="K32" i="13" l="1"/>
  <c r="J33" i="13"/>
  <c r="K33" i="13" l="1"/>
  <c r="J34" i="13"/>
  <c r="K34" i="13" l="1"/>
  <c r="J35" i="13"/>
  <c r="K35" i="13" l="1"/>
  <c r="J36" i="13"/>
  <c r="K36" i="13" l="1"/>
  <c r="J37" i="13"/>
  <c r="K37" i="13" l="1"/>
  <c r="J38" i="13"/>
  <c r="K38" i="13" l="1"/>
  <c r="J39" i="13"/>
  <c r="K39" i="13" l="1"/>
  <c r="J40" i="13"/>
  <c r="J41" i="13" l="1"/>
  <c r="K40" i="13"/>
  <c r="K41" i="13" l="1"/>
  <c r="J42" i="13"/>
  <c r="K42" i="13" l="1"/>
  <c r="J43" i="13"/>
  <c r="K43" i="13" l="1"/>
  <c r="J44" i="13"/>
  <c r="K44" i="13" l="1"/>
  <c r="J45" i="13"/>
  <c r="J46" i="13" l="1"/>
  <c r="K45" i="13"/>
  <c r="K46" i="13" l="1"/>
  <c r="J47" i="13"/>
  <c r="K47" i="13" l="1"/>
  <c r="J48" i="13"/>
  <c r="K48" i="13" l="1"/>
  <c r="J49" i="13"/>
  <c r="J50" i="13" l="1"/>
  <c r="K49" i="13"/>
  <c r="K50" i="13" l="1"/>
  <c r="J51" i="13"/>
  <c r="K51" i="13" l="1"/>
  <c r="J52" i="13"/>
  <c r="K52" i="13" l="1"/>
  <c r="J53" i="13"/>
  <c r="K53" i="13" l="1"/>
  <c r="J54" i="13"/>
  <c r="K54" i="13" l="1"/>
  <c r="J55" i="13"/>
  <c r="K55" i="13" l="1"/>
  <c r="J56" i="13"/>
  <c r="J57" i="13" l="1"/>
  <c r="K56" i="13"/>
  <c r="J58" i="13" l="1"/>
  <c r="K57" i="13"/>
  <c r="K58" i="13" l="1"/>
  <c r="J59" i="13"/>
  <c r="K59" i="13" l="1"/>
  <c r="J60" i="13"/>
  <c r="K60" i="13" l="1"/>
  <c r="J61" i="13"/>
  <c r="J62" i="13" l="1"/>
  <c r="K61" i="13"/>
  <c r="K62" i="13" l="1"/>
  <c r="J63" i="13"/>
  <c r="K63" i="13" l="1"/>
  <c r="J64" i="13"/>
  <c r="J65" i="13" l="1"/>
  <c r="K64" i="13"/>
  <c r="K65" i="13" l="1"/>
  <c r="J66" i="13"/>
  <c r="K66" i="13" l="1"/>
  <c r="J67" i="13"/>
  <c r="K67" i="13" l="1"/>
  <c r="J68" i="13"/>
  <c r="K68" i="13" l="1"/>
  <c r="J69" i="13"/>
  <c r="K69" i="13" l="1"/>
  <c r="J70" i="13"/>
  <c r="K70" i="13" l="1"/>
  <c r="J71" i="13"/>
  <c r="K71" i="13" l="1"/>
  <c r="J72" i="13"/>
  <c r="J73" i="13" l="1"/>
  <c r="K72" i="13"/>
  <c r="J74" i="13" l="1"/>
  <c r="K73" i="13"/>
  <c r="K74" i="13" l="1"/>
  <c r="J75" i="13"/>
  <c r="K75" i="13" l="1"/>
  <c r="J76" i="13"/>
  <c r="K76" i="13" l="1"/>
  <c r="J77" i="13"/>
  <c r="K77" i="13" l="1"/>
  <c r="J78" i="13"/>
  <c r="K78" i="13" l="1"/>
  <c r="J79" i="13"/>
  <c r="K79" i="13" l="1"/>
  <c r="J80" i="13"/>
  <c r="K80" i="13" l="1"/>
  <c r="J81" i="13"/>
  <c r="J82" i="13" l="1"/>
  <c r="K81" i="13"/>
  <c r="K82" i="13" l="1"/>
  <c r="J83" i="13"/>
  <c r="K83" i="13" l="1"/>
  <c r="J84" i="13"/>
  <c r="K84" i="13" l="1"/>
  <c r="J85" i="13"/>
  <c r="J86" i="13" l="1"/>
  <c r="K85" i="13"/>
  <c r="K86" i="13" l="1"/>
  <c r="J87" i="13"/>
  <c r="K87" i="13" l="1"/>
  <c r="J88" i="13"/>
  <c r="K88" i="13" l="1"/>
  <c r="J89" i="13"/>
  <c r="K89" i="13" l="1"/>
  <c r="J90" i="13"/>
  <c r="K90" i="13" l="1"/>
  <c r="J91" i="13"/>
  <c r="K91" i="13" l="1"/>
  <c r="J92" i="13"/>
  <c r="K92" i="13" l="1"/>
  <c r="J93" i="13"/>
  <c r="J94" i="13" l="1"/>
  <c r="K93" i="13"/>
  <c r="K94" i="13" l="1"/>
  <c r="J95" i="13"/>
  <c r="K95" i="13" l="1"/>
  <c r="J96" i="13"/>
  <c r="J97" i="13" l="1"/>
  <c r="K96" i="13"/>
  <c r="K97" i="13" l="1"/>
  <c r="J98" i="13"/>
  <c r="K98" i="13" l="1"/>
  <c r="J99" i="13"/>
  <c r="K99" i="13" l="1"/>
  <c r="J100" i="13"/>
  <c r="K100" i="13" l="1"/>
  <c r="J101" i="13"/>
  <c r="K101" i="13" l="1"/>
  <c r="J102" i="13"/>
  <c r="K102" i="13" l="1"/>
  <c r="J103" i="13"/>
  <c r="K103" i="13" l="1"/>
  <c r="J104" i="13"/>
  <c r="J105" i="13" l="1"/>
  <c r="K104" i="13"/>
  <c r="J106" i="13" l="1"/>
  <c r="K105" i="13"/>
  <c r="K106" i="13" l="1"/>
  <c r="J107" i="13"/>
  <c r="K107" i="13" l="1"/>
  <c r="J108" i="13"/>
  <c r="K108" i="13" l="1"/>
  <c r="J109" i="13"/>
  <c r="K109" i="13" l="1"/>
  <c r="J110" i="13"/>
  <c r="K110" i="13" l="1"/>
  <c r="J111" i="13"/>
  <c r="K111" i="13" l="1"/>
  <c r="J112" i="13"/>
  <c r="K112" i="13" l="1"/>
  <c r="J113" i="13"/>
  <c r="J114" i="13" l="1"/>
  <c r="K113" i="13"/>
  <c r="K114" i="13" l="1"/>
  <c r="K115" i="13" s="1"/>
  <c r="M2" i="13"/>
  <c r="M139" i="1" l="1"/>
  <c r="H47" i="3"/>
  <c r="H49" i="3" s="1"/>
  <c r="H50" i="3" s="1"/>
  <c r="G47" i="3"/>
  <c r="G49" i="3" s="1"/>
  <c r="G50" i="3" s="1"/>
  <c r="F47" i="3"/>
  <c r="F49" i="3" s="1"/>
  <c r="F81" i="1" s="1"/>
  <c r="F79" i="1"/>
  <c r="AM45" i="18" l="1"/>
  <c r="G45" i="18"/>
  <c r="AY45" i="17"/>
  <c r="S45" i="17"/>
  <c r="C45" i="18"/>
  <c r="AU45" i="17"/>
  <c r="O45" i="17"/>
  <c r="BW45" i="17"/>
  <c r="AQ45" i="17"/>
  <c r="K45" i="17"/>
  <c r="AM45" i="17"/>
  <c r="G45" i="17"/>
  <c r="AI45" i="17"/>
  <c r="AI45" i="18"/>
  <c r="AE45" i="18"/>
  <c r="AA45" i="18"/>
  <c r="W45" i="18"/>
  <c r="S45" i="18"/>
  <c r="BK45" i="17"/>
  <c r="AE45" i="17"/>
  <c r="O45" i="18"/>
  <c r="BG45" i="17"/>
  <c r="AA45" i="17"/>
  <c r="K45" i="18"/>
  <c r="BC45" i="17"/>
  <c r="W45" i="17"/>
  <c r="BS45" i="17"/>
  <c r="BO45" i="17"/>
  <c r="C45" i="17"/>
  <c r="F50" i="3"/>
  <c r="F82" i="1" s="1"/>
  <c r="AE49" i="18" l="1"/>
  <c r="AE47" i="18"/>
  <c r="AE48" i="18" s="1"/>
  <c r="O49" i="17"/>
  <c r="O47" i="17"/>
  <c r="O48" i="17" s="1"/>
  <c r="BK49" i="17"/>
  <c r="BK47" i="17"/>
  <c r="BK48" i="17" s="1"/>
  <c r="W49" i="17"/>
  <c r="W50" i="17" s="1"/>
  <c r="W47" i="17"/>
  <c r="W48" i="17" s="1"/>
  <c r="BO49" i="17"/>
  <c r="BO47" i="17"/>
  <c r="BO48" i="17" s="1"/>
  <c r="AI47" i="17"/>
  <c r="AI48" i="17" s="1"/>
  <c r="AI49" i="17"/>
  <c r="AI50" i="17" s="1"/>
  <c r="AQ49" i="17"/>
  <c r="AQ47" i="17"/>
  <c r="AQ48" i="17" s="1"/>
  <c r="AA49" i="18"/>
  <c r="AA47" i="18"/>
  <c r="AA48" i="18" s="1"/>
  <c r="BW49" i="17"/>
  <c r="BW47" i="17"/>
  <c r="BW48" i="17" s="1"/>
  <c r="S49" i="17"/>
  <c r="S47" i="17"/>
  <c r="S48" i="17" s="1"/>
  <c r="C49" i="18"/>
  <c r="C47" i="18"/>
  <c r="C48" i="18" s="1"/>
  <c r="AU47" i="17"/>
  <c r="AU48" i="17" s="1"/>
  <c r="AU49" i="17"/>
  <c r="AU50" i="17" s="1"/>
  <c r="G49" i="18"/>
  <c r="G47" i="18"/>
  <c r="G48" i="18" s="1"/>
  <c r="BC47" i="17"/>
  <c r="BC48" i="17" s="1"/>
  <c r="BC49" i="17"/>
  <c r="C49" i="17"/>
  <c r="C50" i="17" s="1"/>
  <c r="C47" i="17"/>
  <c r="C48" i="17" s="1"/>
  <c r="AE47" i="17"/>
  <c r="AE48" i="17" s="1"/>
  <c r="AE49" i="17"/>
  <c r="AE50" i="17" s="1"/>
  <c r="S49" i="18"/>
  <c r="S47" i="18"/>
  <c r="S48" i="18" s="1"/>
  <c r="AA49" i="17"/>
  <c r="AA47" i="17"/>
  <c r="AA48" i="17" s="1"/>
  <c r="W49" i="18"/>
  <c r="W47" i="18"/>
  <c r="W48" i="18" s="1"/>
  <c r="K49" i="18"/>
  <c r="K47" i="18"/>
  <c r="K48" i="18" s="1"/>
  <c r="BG49" i="17"/>
  <c r="BG47" i="17"/>
  <c r="BG48" i="17" s="1"/>
  <c r="G49" i="17"/>
  <c r="G47" i="17"/>
  <c r="G48" i="17" s="1"/>
  <c r="BS49" i="17"/>
  <c r="BS47" i="17"/>
  <c r="BS48" i="17" s="1"/>
  <c r="O49" i="18"/>
  <c r="O47" i="18"/>
  <c r="O48" i="18" s="1"/>
  <c r="K49" i="17"/>
  <c r="K47" i="17"/>
  <c r="K48" i="17" s="1"/>
  <c r="AY49" i="17"/>
  <c r="AY47" i="17"/>
  <c r="AY48" i="17" s="1"/>
  <c r="AI49" i="18"/>
  <c r="AI47" i="18"/>
  <c r="AI48" i="18" s="1"/>
  <c r="AM47" i="17"/>
  <c r="AM48" i="17" s="1"/>
  <c r="AM49" i="17"/>
  <c r="AM49" i="18"/>
  <c r="AM47" i="18"/>
  <c r="AM48" i="18" s="1"/>
  <c r="AE53" i="17" l="1"/>
  <c r="AE52" i="17" s="1"/>
  <c r="AE55" i="17" s="1"/>
  <c r="AE56" i="17" s="1"/>
  <c r="AE59" i="17" s="1"/>
  <c r="AE61" i="17" s="1"/>
  <c r="AW63" i="1" s="1"/>
  <c r="AT63" i="1" s="1"/>
  <c r="AU53" i="17"/>
  <c r="AU52" i="17" s="1"/>
  <c r="AU55" i="17" s="1"/>
  <c r="AU56" i="17" s="1"/>
  <c r="AU59" i="17" s="1"/>
  <c r="AU61" i="17" s="1"/>
  <c r="AW64" i="1" s="1"/>
  <c r="AT64" i="1" s="1"/>
  <c r="AI53" i="17"/>
  <c r="AI52" i="17" s="1"/>
  <c r="AI55" i="17" s="1"/>
  <c r="AI56" i="17" s="1"/>
  <c r="AI59" i="17" s="1"/>
  <c r="AI61" i="17" s="1"/>
  <c r="AW59" i="1" s="1"/>
  <c r="AT59" i="1" s="1"/>
  <c r="C53" i="17"/>
  <c r="C52" i="17" s="1"/>
  <c r="C55" i="17" s="1"/>
  <c r="C56" i="17" s="1"/>
  <c r="C59" i="17" s="1"/>
  <c r="C61" i="17" s="1"/>
  <c r="AM50" i="17"/>
  <c r="AM53" i="17" s="1"/>
  <c r="AM52" i="17" s="1"/>
  <c r="AM55" i="17" s="1"/>
  <c r="AM56" i="17" s="1"/>
  <c r="AM59" i="17" s="1"/>
  <c r="BC50" i="17"/>
  <c r="BC53" i="17" s="1"/>
  <c r="BC52" i="17" s="1"/>
  <c r="BC55" i="17" s="1"/>
  <c r="BC56" i="17" s="1"/>
  <c r="BC59" i="17" s="1"/>
  <c r="AY50" i="17"/>
  <c r="AY53" i="17" s="1"/>
  <c r="AY52" i="17" s="1"/>
  <c r="AY55" i="17" s="1"/>
  <c r="AY56" i="17" s="1"/>
  <c r="AY59" i="17" s="1"/>
  <c r="O50" i="18"/>
  <c r="O53" i="18" s="1"/>
  <c r="O52" i="18" s="1"/>
  <c r="O55" i="18" s="1"/>
  <c r="O56" i="18" s="1"/>
  <c r="O59" i="18" s="1"/>
  <c r="O61" i="18" s="1"/>
  <c r="G50" i="17"/>
  <c r="G53" i="17" s="1"/>
  <c r="G52" i="17" s="1"/>
  <c r="G55" i="17" s="1"/>
  <c r="G56" i="17" s="1"/>
  <c r="G59" i="17" s="1"/>
  <c r="K50" i="18"/>
  <c r="K53" i="18" s="1"/>
  <c r="K52" i="18" s="1"/>
  <c r="K55" i="18" s="1"/>
  <c r="K56" i="18" s="1"/>
  <c r="K59" i="18" s="1"/>
  <c r="K61" i="18" s="1"/>
  <c r="AA50" i="17"/>
  <c r="AA53" i="17" s="1"/>
  <c r="AA52" i="17" s="1"/>
  <c r="AA55" i="17" s="1"/>
  <c r="AA56" i="17" s="1"/>
  <c r="AA59" i="17" s="1"/>
  <c r="AA61" i="17" s="1"/>
  <c r="S50" i="17"/>
  <c r="S53" i="17" s="1"/>
  <c r="S52" i="17" s="1"/>
  <c r="S55" i="17" s="1"/>
  <c r="S56" i="17" s="1"/>
  <c r="S59" i="17" s="1"/>
  <c r="AA50" i="18"/>
  <c r="AA53" i="18" s="1"/>
  <c r="AA52" i="18" s="1"/>
  <c r="AA55" i="18" s="1"/>
  <c r="AA56" i="18" s="1"/>
  <c r="AA59" i="18" s="1"/>
  <c r="AA61" i="18" s="1"/>
  <c r="W53" i="17"/>
  <c r="W52" i="17" s="1"/>
  <c r="W55" i="17" s="1"/>
  <c r="W56" i="17" s="1"/>
  <c r="W59" i="17" s="1"/>
  <c r="O50" i="17"/>
  <c r="O53" i="17" s="1"/>
  <c r="O52" i="17" s="1"/>
  <c r="O55" i="17" s="1"/>
  <c r="O56" i="17" s="1"/>
  <c r="O59" i="17" s="1"/>
  <c r="AM50" i="18"/>
  <c r="AM53" i="18" s="1"/>
  <c r="AM52" i="18" s="1"/>
  <c r="AM55" i="18" s="1"/>
  <c r="AM56" i="18" s="1"/>
  <c r="AM59" i="18" s="1"/>
  <c r="AM61" i="18" s="1"/>
  <c r="AI50" i="18"/>
  <c r="AI53" i="18" s="1"/>
  <c r="AI52" i="18" s="1"/>
  <c r="AI55" i="18" s="1"/>
  <c r="AI56" i="18" s="1"/>
  <c r="AI59" i="18" s="1"/>
  <c r="AI61" i="18" s="1"/>
  <c r="K50" i="17"/>
  <c r="K53" i="17" s="1"/>
  <c r="K52" i="17" s="1"/>
  <c r="K55" i="17" s="1"/>
  <c r="K56" i="17" s="1"/>
  <c r="K59" i="17" s="1"/>
  <c r="BS50" i="17"/>
  <c r="BS53" i="17" s="1"/>
  <c r="BS52" i="17" s="1"/>
  <c r="BS55" i="17" s="1"/>
  <c r="BS56" i="17" s="1"/>
  <c r="BS59" i="17" s="1"/>
  <c r="BG50" i="17"/>
  <c r="BG53" i="17" s="1"/>
  <c r="BG52" i="17" s="1"/>
  <c r="BG55" i="17" s="1"/>
  <c r="BG56" i="17" s="1"/>
  <c r="BG59" i="17" s="1"/>
  <c r="W50" i="18"/>
  <c r="W53" i="18" s="1"/>
  <c r="W52" i="18" s="1"/>
  <c r="W55" i="18" s="1"/>
  <c r="W56" i="18" s="1"/>
  <c r="W59" i="18" s="1"/>
  <c r="W61" i="18" s="1"/>
  <c r="S50" i="18"/>
  <c r="S53" i="18" s="1"/>
  <c r="S52" i="18" s="1"/>
  <c r="S55" i="18" s="1"/>
  <c r="S56" i="18" s="1"/>
  <c r="S59" i="18" s="1"/>
  <c r="S61" i="18" s="1"/>
  <c r="G50" i="18"/>
  <c r="G53" i="18" s="1"/>
  <c r="G52" i="18" s="1"/>
  <c r="G55" i="18" s="1"/>
  <c r="G56" i="18" s="1"/>
  <c r="G59" i="18" s="1"/>
  <c r="G61" i="18" s="1"/>
  <c r="C50" i="18"/>
  <c r="C53" i="18" s="1"/>
  <c r="C52" i="18" s="1"/>
  <c r="C55" i="18" s="1"/>
  <c r="C56" i="18" s="1"/>
  <c r="C59" i="18" s="1"/>
  <c r="C61" i="18" s="1"/>
  <c r="BW50" i="17"/>
  <c r="BW53" i="17" s="1"/>
  <c r="BW52" i="17" s="1"/>
  <c r="BW55" i="17" s="1"/>
  <c r="BW56" i="17" s="1"/>
  <c r="BW59" i="17" s="1"/>
  <c r="AQ50" i="17"/>
  <c r="AQ53" i="17" s="1"/>
  <c r="AQ52" i="17" s="1"/>
  <c r="AQ55" i="17" s="1"/>
  <c r="AQ56" i="17" s="1"/>
  <c r="AQ59" i="17" s="1"/>
  <c r="BO50" i="17"/>
  <c r="BO53" i="17" s="1"/>
  <c r="BO52" i="17" s="1"/>
  <c r="BO55" i="17" s="1"/>
  <c r="BO56" i="17" s="1"/>
  <c r="BO59" i="17" s="1"/>
  <c r="BK50" i="17"/>
  <c r="BK53" i="17" s="1"/>
  <c r="BK52" i="17" s="1"/>
  <c r="BK55" i="17" s="1"/>
  <c r="BK56" i="17" s="1"/>
  <c r="BK59" i="17" s="1"/>
  <c r="AE50" i="18"/>
  <c r="AE53" i="18" s="1"/>
  <c r="AE52" i="18" s="1"/>
  <c r="AE55" i="18" s="1"/>
  <c r="AE56" i="18" s="1"/>
  <c r="AE59" i="18" s="1"/>
  <c r="AE61" i="18" s="1"/>
  <c r="G81" i="18"/>
  <c r="C81" i="18"/>
  <c r="K81" i="17"/>
  <c r="AI63" i="17" l="1"/>
  <c r="AE63" i="17"/>
  <c r="H67" i="1"/>
  <c r="K61" i="17"/>
  <c r="AW56" i="1" s="1"/>
  <c r="AT56" i="1" s="1"/>
  <c r="BC61" i="17"/>
  <c r="AW66" i="1" s="1"/>
  <c r="AT66" i="1" s="1"/>
  <c r="BD54" i="1"/>
  <c r="BA54" i="1" s="1"/>
  <c r="C63" i="18"/>
  <c r="AQ61" i="17"/>
  <c r="AW58" i="1" s="1"/>
  <c r="AT58" i="1" s="1"/>
  <c r="BG61" i="17"/>
  <c r="AW65" i="1" s="1"/>
  <c r="AT65" i="1" s="1"/>
  <c r="W63" i="18"/>
  <c r="BD59" i="1"/>
  <c r="BA59" i="1" s="1"/>
  <c r="BK61" i="17"/>
  <c r="AW67" i="1" s="1"/>
  <c r="AT67" i="1" s="1"/>
  <c r="O61" i="17"/>
  <c r="AW60" i="1" s="1"/>
  <c r="AT60" i="1" s="1"/>
  <c r="BD61" i="1"/>
  <c r="BA61" i="1" s="1"/>
  <c r="AE63" i="18"/>
  <c r="S63" i="18"/>
  <c r="BD57" i="1"/>
  <c r="BA57" i="1" s="1"/>
  <c r="BD62" i="1"/>
  <c r="BA62" i="1" s="1"/>
  <c r="AM63" i="18"/>
  <c r="AI63" i="18"/>
  <c r="BD63" i="1"/>
  <c r="BA63" i="1" s="1"/>
  <c r="AA63" i="18"/>
  <c r="BD60" i="1"/>
  <c r="BA60" i="1" s="1"/>
  <c r="AA63" i="17"/>
  <c r="AW61" i="1"/>
  <c r="AT61" i="1" s="1"/>
  <c r="G61" i="17"/>
  <c r="AW54" i="1" s="1"/>
  <c r="AT54" i="1" s="1"/>
  <c r="AY61" i="17"/>
  <c r="AW68" i="1" s="1"/>
  <c r="AT68" i="1" s="1"/>
  <c r="BO61" i="17"/>
  <c r="AW69" i="1" s="1"/>
  <c r="AT69" i="1" s="1"/>
  <c r="BW61" i="17"/>
  <c r="AW71" i="1" s="1"/>
  <c r="AT71" i="1" s="1"/>
  <c r="BD55" i="1"/>
  <c r="BA55" i="1" s="1"/>
  <c r="G63" i="18"/>
  <c r="BS61" i="17"/>
  <c r="AW70" i="1" s="1"/>
  <c r="AT70" i="1" s="1"/>
  <c r="S61" i="17"/>
  <c r="BD58" i="1"/>
  <c r="BA58" i="1" s="1"/>
  <c r="K63" i="18"/>
  <c r="BD56" i="1"/>
  <c r="BA56" i="1" s="1"/>
  <c r="O63" i="18"/>
  <c r="AM61" i="17"/>
  <c r="AW62" i="1" s="1"/>
  <c r="AT62" i="1" s="1"/>
  <c r="C63" i="17"/>
  <c r="W61" i="17"/>
  <c r="AW57" i="1" s="1"/>
  <c r="AT57" i="1" s="1"/>
  <c r="AU63" i="17"/>
  <c r="C81" i="17"/>
  <c r="G81" i="17"/>
  <c r="F67" i="1" l="1"/>
  <c r="G67" i="1"/>
  <c r="AW55" i="1"/>
  <c r="AT55" i="1" s="1"/>
  <c r="W63" i="17"/>
  <c r="AM63" i="17"/>
  <c r="BS63" i="17"/>
  <c r="BW63" i="17"/>
  <c r="AY63" i="17"/>
  <c r="O63" i="17"/>
  <c r="AQ63" i="17"/>
  <c r="BC63" i="17"/>
  <c r="S63" i="17"/>
  <c r="BO63" i="17"/>
  <c r="G63" i="17"/>
  <c r="BK63" i="17"/>
  <c r="BG63" i="17"/>
  <c r="K63"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dmorgan</author>
    <author>UNRAJASEKHAR</author>
    <author>a0272042</author>
    <author>bdemsc</author>
    <author>TI User</author>
    <author>Alex Triano</author>
  </authors>
  <commentList>
    <comment ref="F19" authorId="0" shapeId="0" xr:uid="{00000000-0006-0000-0100-000001000000}">
      <text>
        <r>
          <rPr>
            <b/>
            <sz val="8"/>
            <color indexed="81"/>
            <rFont val="Tahoma"/>
            <family val="2"/>
          </rPr>
          <t>The minimum system voltage must be no less than 10V.</t>
        </r>
      </text>
    </comment>
    <comment ref="F21" authorId="0" shapeId="0" xr:uid="{00000000-0006-0000-0100-000002000000}">
      <text>
        <r>
          <rPr>
            <b/>
            <sz val="8"/>
            <color indexed="81"/>
            <rFont val="Tahoma"/>
            <family val="2"/>
          </rPr>
          <t>The maximum system voltage must be no greater than 80V.</t>
        </r>
      </text>
    </comment>
    <comment ref="F23" authorId="0" shapeId="0" xr:uid="{00000000-0006-0000-0100-000003000000}">
      <text>
        <r>
          <rPr>
            <b/>
            <sz val="8"/>
            <color indexed="81"/>
            <rFont val="Tahoma"/>
            <family val="2"/>
          </rPr>
          <t xml:space="preserve">This is the capacitance at Vout. This should not be zero. A minimum of 10 </t>
        </r>
        <r>
          <rPr>
            <b/>
            <sz val="8"/>
            <color indexed="81"/>
            <rFont val="Arial"/>
            <family val="2"/>
          </rPr>
          <t>μ</t>
        </r>
        <r>
          <rPr>
            <b/>
            <sz val="8"/>
            <color indexed="81"/>
            <rFont val="Tahoma"/>
            <family val="2"/>
          </rPr>
          <t>F is recommended.</t>
        </r>
      </text>
    </comment>
    <comment ref="F25" authorId="1" shapeId="0" xr:uid="{B6EADC83-6DCA-463D-AFBA-C37E6DB3D128}">
      <text>
        <r>
          <rPr>
            <b/>
            <sz val="9"/>
            <color indexed="81"/>
            <rFont val="Tahoma"/>
            <family val="2"/>
          </rPr>
          <t>The tool will calculate the number of FETs required and FET Rdson for this target  temperature</t>
        </r>
        <r>
          <rPr>
            <sz val="9"/>
            <color indexed="81"/>
            <rFont val="Tahoma"/>
            <family val="2"/>
          </rPr>
          <t xml:space="preserve">
</t>
        </r>
      </text>
    </comment>
    <comment ref="F26" authorId="2" shapeId="0" xr:uid="{00000000-0006-0000-0100-00000A000000}">
      <text>
        <r>
          <rPr>
            <b/>
            <sz val="9"/>
            <color indexed="81"/>
            <rFont val="Tahoma"/>
            <family val="2"/>
          </rPr>
          <t xml:space="preserve">Note that this parameter is heavily dependent on the board layout and amount of copper connected to the Drain of the FET. 
The TI EVM is ~30C / W number and is a good starting point. It's recommended to measure this value again once the boards are built and plugging this back into the calculator. </t>
        </r>
        <r>
          <rPr>
            <sz val="9"/>
            <color indexed="81"/>
            <rFont val="Tahoma"/>
            <family val="2"/>
          </rPr>
          <t xml:space="preserve">
</t>
        </r>
      </text>
    </comment>
    <comment ref="F28" authorId="3" shapeId="0" xr:uid="{00000000-0006-0000-0100-00000F000000}">
      <text>
        <r>
          <rPr>
            <b/>
            <sz val="8"/>
            <color indexed="81"/>
            <rFont val="Tahoma"/>
            <family val="2"/>
          </rPr>
          <t>Select if the load will draw current during start-up. 
For no Load, choose constant current and set to zero</t>
        </r>
      </text>
    </comment>
    <comment ref="F30" authorId="3" shapeId="0" xr:uid="{00000000-0006-0000-0100-000010000000}">
      <text>
        <r>
          <rPr>
            <b/>
            <sz val="8"/>
            <color indexed="81"/>
            <rFont val="Tahoma"/>
            <family val="2"/>
          </rPr>
          <t>Soft start or DV/DT control can be useful in high current applications or applications were COUT is large.
If SOA margin is poor with a Power Limit start-up, switching to a soft start can alleviate this problem.</t>
        </r>
      </text>
    </comment>
    <comment ref="F32" authorId="3" shapeId="0" xr:uid="{00000000-0006-0000-0100-000004000000}">
      <text>
        <r>
          <rPr>
            <b/>
            <sz val="8"/>
            <color indexed="81"/>
            <rFont val="Tahoma"/>
            <family val="2"/>
          </rPr>
          <t>Select either 26mV or 50mV current limit.
26mV will result in less power loss in the Rs resistor.</t>
        </r>
      </text>
    </comment>
    <comment ref="F34" authorId="2" shapeId="0" xr:uid="{00000000-0006-0000-0100-000005000000}">
      <text>
        <r>
          <rPr>
            <b/>
            <sz val="9"/>
            <color indexed="81"/>
            <rFont val="Tahoma"/>
            <family val="2"/>
          </rPr>
          <t xml:space="preserve">Using an External Resistor allows the user to fine tune the current limit for a given standard resistor. 
It will add error to the power limit, current limit, and telemetry (1% resistors) and should be avoided if possible. </t>
        </r>
        <r>
          <rPr>
            <sz val="9"/>
            <color indexed="81"/>
            <rFont val="Tahoma"/>
            <family val="2"/>
          </rPr>
          <t xml:space="preserve">
</t>
        </r>
      </text>
    </comment>
    <comment ref="F35" authorId="0" shapeId="0" xr:uid="{00000000-0006-0000-0100-000006000000}">
      <text>
        <r>
          <rPr>
            <b/>
            <sz val="8"/>
            <color indexed="81"/>
            <rFont val="Tahoma"/>
            <family val="2"/>
          </rPr>
          <t xml:space="preserve">When using an external resistor divider, Rs must be larger than the targeted Rs,eff.  Pick the next larger available Rs.  
When not using an external resistor divider, pick the next smallest available sense resistor. </t>
        </r>
      </text>
    </comment>
    <comment ref="F36" authorId="2" shapeId="0" xr:uid="{00000000-0006-0000-0100-000007000000}">
      <text>
        <r>
          <rPr>
            <b/>
            <sz val="9"/>
            <color indexed="81"/>
            <rFont val="Tahoma"/>
            <family val="2"/>
          </rPr>
          <t xml:space="preserve">Cell turns Red if 
When using an external resistor divider, Rs must be larger than the targeted Rs,eff.  Pick the next larger available Rs.  
</t>
        </r>
        <r>
          <rPr>
            <sz val="9"/>
            <color indexed="81"/>
            <rFont val="Tahoma"/>
            <family val="2"/>
          </rPr>
          <t xml:space="preserve">
</t>
        </r>
      </text>
    </comment>
    <comment ref="F41" authorId="2" shapeId="0" xr:uid="{00000000-0006-0000-0100-000008000000}">
      <text>
        <r>
          <rPr>
            <b/>
            <sz val="9"/>
            <color indexed="81"/>
            <rFont val="Tahoma"/>
            <family val="2"/>
          </rPr>
          <t xml:space="preserve">Ensure that the minimum current limit is above maximum load current. </t>
        </r>
      </text>
    </comment>
    <comment ref="F44" authorId="0" shapeId="0" xr:uid="{00000000-0006-0000-0100-000009000000}">
      <text>
        <r>
          <rPr>
            <b/>
            <sz val="8"/>
            <color indexed="81"/>
            <rFont val="Tahoma"/>
            <family val="2"/>
          </rPr>
          <t>The power dissipation is calculated using the maximum normal load current.
Ensure the selected resistor is rated for this power dissipation.</t>
        </r>
      </text>
    </comment>
    <comment ref="F45" authorId="1" shapeId="0" xr:uid="{B2EC169B-5DEC-4B2B-911F-C3CDF6C43A88}">
      <text>
        <r>
          <rPr>
            <b/>
            <sz val="9"/>
            <color indexed="81"/>
            <rFont val="Tahoma"/>
            <family val="2"/>
          </rPr>
          <t>Retry option is for  restarting the MOSFET after a certain duration after fault condition.
Latch off option is for keeping the MOSFET off after a fault condition. MOSFET needs to be started up externally.</t>
        </r>
      </text>
    </comment>
    <comment ref="F46" authorId="1" shapeId="0" xr:uid="{B9F23928-D9EE-42E1-89D6-C0BE04276AFE}">
      <text>
        <r>
          <rPr>
            <b/>
            <sz val="9"/>
            <color indexed="81"/>
            <rFont val="Tahoma"/>
            <family val="2"/>
          </rPr>
          <t>1.9x Current limit is usually recommended.
If your design can have very high surges, then 3.9x Current Limit is the better option</t>
        </r>
        <r>
          <rPr>
            <sz val="9"/>
            <color indexed="81"/>
            <rFont val="Tahoma"/>
            <family val="2"/>
          </rPr>
          <t xml:space="preserve">
</t>
        </r>
      </text>
    </comment>
    <comment ref="F49" authorId="2" shapeId="0" xr:uid="{00000000-0006-0000-0100-00000C000000}">
      <text>
        <r>
          <rPr>
            <sz val="9"/>
            <color indexed="81"/>
            <rFont val="Tahoma"/>
            <family val="2"/>
          </rPr>
          <t xml:space="preserve">Usually this can be set to PLIM,MIN.  If a load is present during start-up a higher Plim, may be preferred. </t>
        </r>
        <r>
          <rPr>
            <b/>
            <sz val="9"/>
            <color indexed="81"/>
            <rFont val="Tahoma"/>
            <family val="2"/>
          </rPr>
          <t xml:space="preserve">
</t>
        </r>
      </text>
    </comment>
    <comment ref="F51" authorId="1" shapeId="0" xr:uid="{8A0E645A-76CC-4FC7-8508-182870568FE6}">
      <text>
        <r>
          <rPr>
            <b/>
            <sz val="9"/>
            <color indexed="81"/>
            <rFont val="Tahoma"/>
            <family val="2"/>
          </rPr>
          <t>Select a resistor closest to the calculated value to achieve the Target Power Limit</t>
        </r>
      </text>
    </comment>
    <comment ref="F52" authorId="2" shapeId="0" xr:uid="{00000000-0006-0000-0100-00000E000000}">
      <text>
        <r>
          <rPr>
            <sz val="9"/>
            <color indexed="81"/>
            <rFont val="Tahoma"/>
            <family val="2"/>
          </rPr>
          <t xml:space="preserve">Cell turns Red if the actual power limit is below Minimum Power Limit (cell F47)
</t>
        </r>
      </text>
    </comment>
    <comment ref="F54" authorId="1" shapeId="0" xr:uid="{C304DC23-F44B-4E00-90B4-E33A78F86296}">
      <text>
        <r>
          <rPr>
            <b/>
            <sz val="9"/>
            <color indexed="81"/>
            <rFont val="Tahoma"/>
            <family val="2"/>
          </rPr>
          <t xml:space="preserve">Click the arrow button beside this cell and scroll down to see all the suggestions.
</t>
        </r>
      </text>
    </comment>
    <comment ref="G54" authorId="1" shapeId="0" xr:uid="{698007D6-DF90-42A2-8494-B5C4DBFA29B9}">
      <text>
        <r>
          <rPr>
            <b/>
            <sz val="9"/>
            <color indexed="81"/>
            <rFont val="Tahoma"/>
            <family val="2"/>
          </rPr>
          <t xml:space="preserve">Click the arrow button beside this cell and scroll down to see all the suggestions.
</t>
        </r>
      </text>
    </comment>
    <comment ref="H55" authorId="1" shapeId="0" xr:uid="{FF252604-1880-465F-A9F8-838FDCE7FED1}">
      <text>
        <r>
          <rPr>
            <b/>
            <sz val="9"/>
            <color indexed="81"/>
            <rFont val="Tahoma"/>
            <family val="2"/>
          </rPr>
          <t xml:space="preserve">Enter the details of MOSFET from non-TI Supplier
</t>
        </r>
      </text>
    </comment>
    <comment ref="E57" authorId="1" shapeId="0" xr:uid="{128A6039-E2BD-4C80-B610-9CCF0412477A}">
      <text>
        <r>
          <rPr>
            <b/>
            <sz val="9"/>
            <color indexed="81"/>
            <rFont val="Tahoma"/>
            <family val="2"/>
          </rPr>
          <t>SOA data for TI FETs is taken at Vds=Vinmax</t>
        </r>
      </text>
    </comment>
    <comment ref="E58" authorId="1" shapeId="0" xr:uid="{5C44525E-4923-494D-A0FA-1D3DDF2D8B77}">
      <text>
        <r>
          <rPr>
            <b/>
            <sz val="9"/>
            <color indexed="81"/>
            <rFont val="Tahoma"/>
            <family val="2"/>
          </rPr>
          <t>SOA data for TI FETs is taken at Vds=Vinmax</t>
        </r>
      </text>
    </comment>
    <comment ref="E59" authorId="1" shapeId="0" xr:uid="{4FEDDB4E-55AC-4631-8691-6932A759BDDD}">
      <text>
        <r>
          <rPr>
            <b/>
            <sz val="9"/>
            <color indexed="81"/>
            <rFont val="Tahoma"/>
            <family val="2"/>
          </rPr>
          <t>SOA data for TI FETs is taken at Vds=Vinmax</t>
        </r>
      </text>
    </comment>
    <comment ref="E60" authorId="1" shapeId="0" xr:uid="{64B047A4-8339-441E-B90B-C938830C9066}">
      <text>
        <r>
          <rPr>
            <b/>
            <sz val="9"/>
            <color indexed="81"/>
            <rFont val="Tahoma"/>
            <family val="2"/>
          </rPr>
          <t>SOA data for TI FETs is taken at Vds=Vinmax</t>
        </r>
      </text>
    </comment>
    <comment ref="E61" authorId="1" shapeId="0" xr:uid="{E08ECEBD-3035-4515-869A-0FF5E8869DA8}">
      <text>
        <r>
          <rPr>
            <b/>
            <sz val="9"/>
            <color indexed="81"/>
            <rFont val="Tahoma"/>
            <family val="2"/>
          </rPr>
          <t>SOA data for TI FETs is taken at Vds=Vinmax</t>
        </r>
      </text>
    </comment>
    <comment ref="F67" authorId="1" shapeId="0" xr:uid="{A19747FC-0C5B-48A1-B70D-C5FDC92FA6AB}">
      <text>
        <r>
          <rPr>
            <b/>
            <sz val="9"/>
            <color indexed="81"/>
            <rFont val="Tahoma"/>
            <family val="2"/>
          </rPr>
          <t xml:space="preserve">A margin greater than 1.1 is required and greater than 1.3 is recommended for safe operation
</t>
        </r>
      </text>
    </comment>
    <comment ref="G67" authorId="1" shapeId="0" xr:uid="{62AA5590-9AB8-4C69-9826-00248BCBDA10}">
      <text>
        <r>
          <rPr>
            <b/>
            <sz val="9"/>
            <color indexed="81"/>
            <rFont val="Tahoma"/>
            <family val="2"/>
          </rPr>
          <t xml:space="preserve">A margin greater than 1.1 is required and greater than 1.3 is recommended for safe operation
</t>
        </r>
      </text>
    </comment>
    <comment ref="H67" authorId="1" shapeId="0" xr:uid="{9181C10E-5BA7-414C-A1A9-7116D7C6E481}">
      <text>
        <r>
          <rPr>
            <b/>
            <sz val="9"/>
            <color indexed="81"/>
            <rFont val="Tahoma"/>
            <family val="2"/>
          </rPr>
          <t xml:space="preserve">A margin greater than 1.1 is required and greater than 1.3 is recommended for safe operation
</t>
        </r>
      </text>
    </comment>
    <comment ref="K69" authorId="4" shapeId="0" xr:uid="{00000000-0006-0000-0100-00000D000000}">
      <text>
        <r>
          <rPr>
            <sz val="9"/>
            <color indexed="81"/>
            <rFont val="Tahoma"/>
            <family val="2"/>
          </rPr>
          <t xml:space="preserve">3 Parameters:
Step 1: Max Ambient Operating Temperature 
Step 3: Estimated MOSFET RQJA
Step 3: FET Power Dissipation at full load 
**This includes air flow
</t>
        </r>
      </text>
    </comment>
    <comment ref="F75" authorId="1" shapeId="0" xr:uid="{E7144A2D-E1F2-4DC0-9F8F-636553C4E9F3}">
      <text>
        <r>
          <rPr>
            <b/>
            <sz val="9"/>
            <color indexed="81"/>
            <rFont val="Tahoma"/>
            <family val="2"/>
          </rPr>
          <t>Click the arrow button beside this cell and scroll down to select one FET</t>
        </r>
      </text>
    </comment>
    <comment ref="F80" authorId="2" shapeId="0" xr:uid="{00000000-0006-0000-0100-000011000000}">
      <text>
        <r>
          <rPr>
            <b/>
            <sz val="9"/>
            <color indexed="81"/>
            <rFont val="Tahoma"/>
            <family val="2"/>
          </rPr>
          <t xml:space="preserve">If IFET - ILOAD margin is too low, there may be start-up issues due to variation in power limit or load profile.  A margin &gt; 25% is recommended. 
If margin is &lt; 25%, the power limit should be increased or the load should be kept completely OFF during start-up. </t>
        </r>
        <r>
          <rPr>
            <sz val="9"/>
            <color indexed="81"/>
            <rFont val="Tahoma"/>
            <family val="2"/>
          </rPr>
          <t xml:space="preserve">
</t>
        </r>
      </text>
    </comment>
    <comment ref="F81" authorId="0" shapeId="0" xr:uid="{00000000-0006-0000-0100-000012000000}">
      <text>
        <r>
          <rPr>
            <b/>
            <sz val="8"/>
            <color indexed="81"/>
            <rFont val="Tahoma"/>
            <family val="2"/>
          </rPr>
          <t xml:space="preserve">To ensure start-up the fault time out must be longer than the start-up time. It is recommended to choose a fault timer that is larger than the typical start-time to account for variations in Plim, timer current, and timer capacitance. </t>
        </r>
      </text>
    </comment>
    <comment ref="F83" authorId="2" shapeId="0" xr:uid="{00000000-0006-0000-0100-000013000000}">
      <text>
        <r>
          <rPr>
            <b/>
            <sz val="9"/>
            <color indexed="81"/>
            <rFont val="Tahoma"/>
            <family val="2"/>
          </rPr>
          <t>Pick closest capacitor that is larger than the Target capacitance</t>
        </r>
        <r>
          <rPr>
            <sz val="9"/>
            <color indexed="81"/>
            <rFont val="Tahoma"/>
            <family val="2"/>
          </rPr>
          <t xml:space="preserve">
</t>
        </r>
      </text>
    </comment>
    <comment ref="F85" authorId="2" shapeId="0" xr:uid="{00000000-0006-0000-0100-000014000000}">
      <text>
        <r>
          <rPr>
            <sz val="9"/>
            <color indexed="81"/>
            <rFont val="Tahoma"/>
            <family val="2"/>
          </rPr>
          <t>A ratio over 1.1 is required and over 1.3 is preferred.  This will account for variation in Power limit and timer
If the margin is poor with a PLIM based start-up, switch to soft start (cell F55)</t>
        </r>
      </text>
    </comment>
    <comment ref="F86" authorId="3" shapeId="0" xr:uid="{00000000-0006-0000-0100-000015000000}">
      <text>
        <r>
          <rPr>
            <b/>
            <sz val="8"/>
            <color indexed="81"/>
            <rFont val="Tahoma"/>
            <family val="2"/>
          </rPr>
          <t xml:space="preserve">This is used to determine the maximum FET case temperature before start-up. 
A "yes" here means that a user may run a board at full current, then unplug the board and plug it back in. In that the FET is hot before hot-plug. 
If this is a "no".  FET temperature just equals the ambient temperature. </t>
        </r>
      </text>
    </comment>
    <comment ref="F87" authorId="2" shapeId="0" xr:uid="{00000000-0006-0000-0100-000016000000}">
      <text>
        <r>
          <rPr>
            <b/>
            <sz val="9"/>
            <color indexed="81"/>
            <rFont val="Tahoma"/>
            <family val="2"/>
          </rPr>
          <t xml:space="preserve">If these cells are red, there is no suitable slew rate for keeping FET whithin SOA. 
Reduce load at start-up or pick FET with better SOA. </t>
        </r>
      </text>
    </comment>
    <comment ref="F88" authorId="2" shapeId="0" xr:uid="{00000000-0006-0000-0100-000017000000}">
      <text>
        <r>
          <rPr>
            <b/>
            <sz val="9"/>
            <color indexed="81"/>
            <rFont val="Tahoma"/>
            <family val="2"/>
          </rPr>
          <t xml:space="preserve">If these cells are red, there is no suitable slew rate for keeping FET whithin SOA. 
Reduce load at start-up or pick FET with better SOA. </t>
        </r>
        <r>
          <rPr>
            <sz val="9"/>
            <color indexed="81"/>
            <rFont val="Tahoma"/>
            <family val="2"/>
          </rPr>
          <t xml:space="preserve">
</t>
        </r>
      </text>
    </comment>
    <comment ref="F89" authorId="2" shapeId="0" xr:uid="{00000000-0006-0000-0100-000018000000}">
      <text>
        <r>
          <rPr>
            <b/>
            <sz val="9"/>
            <color indexed="81"/>
            <rFont val="Tahoma"/>
            <family val="2"/>
          </rPr>
          <t>Ensure that this is lower than max ss slew rate in the cell above</t>
        </r>
        <r>
          <rPr>
            <sz val="9"/>
            <color indexed="81"/>
            <rFont val="Tahoma"/>
            <family val="2"/>
          </rPr>
          <t xml:space="preserve">
</t>
        </r>
      </text>
    </comment>
    <comment ref="F92" authorId="2" shapeId="0" xr:uid="{00000000-0006-0000-0100-000019000000}">
      <text>
        <r>
          <rPr>
            <b/>
            <sz val="9"/>
            <color indexed="81"/>
            <rFont val="Tahoma"/>
            <family val="2"/>
          </rPr>
          <t>Ensure that this is lower than max ss slew rate.</t>
        </r>
      </text>
    </comment>
    <comment ref="F93" authorId="2" shapeId="0" xr:uid="{00000000-0006-0000-0100-00001A000000}">
      <text>
        <r>
          <rPr>
            <sz val="9"/>
            <color indexed="81"/>
            <rFont val="Tahoma"/>
            <family val="2"/>
          </rPr>
          <t>A margin of &gt;1.1 is required and a margin of &gt;1.5 is recommended to accout for the variation in the gate current. 
Reduce dv/dt rate to reduce inrush current and increase SOA margin</t>
        </r>
      </text>
    </comment>
    <comment ref="F98" authorId="2" shapeId="0" xr:uid="{00000000-0006-0000-0100-00001B000000}">
      <text>
        <r>
          <rPr>
            <b/>
            <sz val="9"/>
            <color indexed="81"/>
            <rFont val="Tahoma"/>
            <family val="2"/>
          </rPr>
          <t xml:space="preserve">A margin of &gt;1.1 is required and a margin of &gt;1.3 is recommended to accout for the variation in the power limit and timer. 
Reduce Tfault to improve SOA margin. </t>
        </r>
        <r>
          <rPr>
            <sz val="9"/>
            <color indexed="81"/>
            <rFont val="Tahoma"/>
            <family val="2"/>
          </rPr>
          <t xml:space="preserve">
</t>
        </r>
      </text>
    </comment>
    <comment ref="F100" authorId="0" shapeId="0" xr:uid="{00000000-0006-0000-0100-00001C000000}">
      <text>
        <r>
          <rPr>
            <b/>
            <sz val="8"/>
            <color indexed="81"/>
            <rFont val="Tahoma"/>
            <family val="2"/>
          </rPr>
          <t>This calculation applies only when the RETRY option is selected.</t>
        </r>
      </text>
    </comment>
    <comment ref="F101" authorId="3" shapeId="0" xr:uid="{00000000-0006-0000-0100-00001D000000}">
      <text>
        <r>
          <rPr>
            <b/>
            <sz val="8"/>
            <color indexed="81"/>
            <rFont val="Tahoma"/>
            <family val="2"/>
          </rPr>
          <t>See the schematics above to select the appropriate option for setting the input voltage UVLO and OVLO thresholds.</t>
        </r>
      </text>
    </comment>
    <comment ref="F102" authorId="0" shapeId="0" xr:uid="{00000000-0006-0000-0100-00001E000000}">
      <text>
        <r>
          <rPr>
            <b/>
            <sz val="8"/>
            <color indexed="81"/>
            <rFont val="Tahoma"/>
            <family val="2"/>
          </rPr>
          <t>This threshold must be between 10V and 80V.</t>
        </r>
      </text>
    </comment>
    <comment ref="F103" authorId="0" shapeId="0" xr:uid="{00000000-0006-0000-0100-00001F000000}">
      <text>
        <r>
          <rPr>
            <b/>
            <sz val="8"/>
            <color indexed="81"/>
            <rFont val="Tahoma"/>
            <family val="2"/>
          </rPr>
          <t>This threshold must be greater than 10V, and less than the upper UVLO threshold.</t>
        </r>
      </text>
    </comment>
    <comment ref="F104" authorId="0" shapeId="0" xr:uid="{00000000-0006-0000-0100-000020000000}">
      <text>
        <r>
          <rPr>
            <b/>
            <sz val="8"/>
            <color indexed="81"/>
            <rFont val="Tahoma"/>
            <family val="2"/>
          </rPr>
          <t>This threshold must be greater than the upper UVLO Threshold, and less than 80V.</t>
        </r>
      </text>
    </comment>
    <comment ref="F150" authorId="2" shapeId="0" xr:uid="{00000000-0006-0000-0100-000021000000}">
      <text>
        <r>
          <rPr>
            <sz val="9"/>
            <color indexed="81"/>
            <rFont val="Tahoma"/>
            <family val="2"/>
          </rPr>
          <t xml:space="preserve">TI recommended. Same as EVM
</t>
        </r>
      </text>
    </comment>
    <comment ref="F154" authorId="5" shapeId="0" xr:uid="{00000000-0006-0000-0100-000022000000}">
      <text>
        <r>
          <rPr>
            <sz val="9"/>
            <color indexed="81"/>
            <rFont val="Tahoma"/>
            <family val="2"/>
          </rPr>
          <t xml:space="preserve">TI recommended. Same as EVM
</t>
        </r>
      </text>
    </comment>
    <comment ref="F156" authorId="2" shapeId="0" xr:uid="{00000000-0006-0000-0100-000023000000}">
      <text>
        <r>
          <rPr>
            <sz val="9"/>
            <color indexed="81"/>
            <rFont val="Tahoma"/>
            <family val="2"/>
          </rPr>
          <t xml:space="preserve">TI recomends the SMDJxx TVS, which are used on the EVM. 
Pick the proper value based on the input voltage. 
</t>
        </r>
      </text>
    </comment>
  </commentList>
</comments>
</file>

<file path=xl/sharedStrings.xml><?xml version="1.0" encoding="utf-8"?>
<sst xmlns="http://schemas.openxmlformats.org/spreadsheetml/2006/main" count="2703" uniqueCount="704">
  <si>
    <t>Max Rs =</t>
  </si>
  <si>
    <t>Min. Current limit =</t>
  </si>
  <si>
    <t>Typ. Current limit =</t>
  </si>
  <si>
    <t>Max. Current limit =</t>
  </si>
  <si>
    <t>Rs Power Diss. =</t>
  </si>
  <si>
    <t>Resulting Typical Power Limit =</t>
  </si>
  <si>
    <t>Resulting Minimum Power Limit =</t>
  </si>
  <si>
    <t>Resulting Maximum Power Limit =</t>
  </si>
  <si>
    <t>ms</t>
  </si>
  <si>
    <t>Typ. Insertion time =</t>
  </si>
  <si>
    <t>Typ. Restart time =</t>
  </si>
  <si>
    <t>R1 =</t>
  </si>
  <si>
    <t>R2 =</t>
  </si>
  <si>
    <t>R3 =</t>
  </si>
  <si>
    <t>R4 =</t>
  </si>
  <si>
    <t xml:space="preserve">   24% tolerance used in this calculation.</t>
  </si>
  <si>
    <t xml:space="preserve">  10% margin added in this calculation</t>
  </si>
  <si>
    <r>
      <t>R</t>
    </r>
    <r>
      <rPr>
        <vertAlign val="subscript"/>
        <sz val="10"/>
        <rFont val="Arial"/>
        <family val="2"/>
      </rPr>
      <t>PWR</t>
    </r>
    <r>
      <rPr>
        <sz val="10"/>
        <rFont val="Arial"/>
        <family val="2"/>
      </rPr>
      <t xml:space="preserve"> =</t>
    </r>
  </si>
  <si>
    <t>Notes:</t>
  </si>
  <si>
    <t>Option A</t>
  </si>
  <si>
    <t>Option B</t>
  </si>
  <si>
    <t>Select Option A or Option B</t>
  </si>
  <si>
    <t>R2</t>
  </si>
  <si>
    <t>R3</t>
  </si>
  <si>
    <t>R4</t>
  </si>
  <si>
    <t>A</t>
  </si>
  <si>
    <t>B</t>
  </si>
  <si>
    <t>UVLO upper is F40</t>
  </si>
  <si>
    <t>UVLO lower is F41</t>
  </si>
  <si>
    <t>OVLO upper is F42</t>
  </si>
  <si>
    <t>OVLO lower is F43</t>
  </si>
  <si>
    <t xml:space="preserve">R3 = </t>
  </si>
  <si>
    <t xml:space="preserve">R2 = </t>
  </si>
  <si>
    <t xml:space="preserve">R1 = </t>
  </si>
  <si>
    <t xml:space="preserve">R4 = </t>
  </si>
  <si>
    <t>Minimum</t>
  </si>
  <si>
    <t>Typical</t>
  </si>
  <si>
    <t>Maximum</t>
  </si>
  <si>
    <t xml:space="preserve">Resulting upper UVLO Threshold (min) = </t>
  </si>
  <si>
    <t xml:space="preserve">Resulting upper UVLO Threshold (typ) = </t>
  </si>
  <si>
    <t xml:space="preserve">Resulting upper UVLO Threshold (max) = </t>
  </si>
  <si>
    <t xml:space="preserve">Resulting lower UVLO Threshold (min) = </t>
  </si>
  <si>
    <t xml:space="preserve">Resulting lower UVLO Threshold (typ) = </t>
  </si>
  <si>
    <t xml:space="preserve">Resulting lower UVLO Threshold (max) = </t>
  </si>
  <si>
    <t xml:space="preserve">Resulting upper OVLO Threshold (min) = </t>
  </si>
  <si>
    <t xml:space="preserve">Resulting upper OVLO Threshold (typ) = </t>
  </si>
  <si>
    <t xml:space="preserve">Resulting upper OVLO Threshold (max) = </t>
  </si>
  <si>
    <t xml:space="preserve">Resulting lower OVLO Threshold (min) = </t>
  </si>
  <si>
    <t xml:space="preserve">Resulting lower OVLO Threshold (typ) = </t>
  </si>
  <si>
    <t xml:space="preserve">Resulting lower OVLO Threshold (max) = </t>
  </si>
  <si>
    <t>R1 is F48</t>
  </si>
  <si>
    <t>R2 is F49</t>
  </si>
  <si>
    <t>R3 is F50</t>
  </si>
  <si>
    <t>R4 is F51</t>
  </si>
  <si>
    <t>Resulting Thresholds:</t>
  </si>
  <si>
    <r>
      <t>C</t>
    </r>
    <r>
      <rPr>
        <vertAlign val="subscript"/>
        <sz val="10"/>
        <rFont val="Arial"/>
        <family val="2"/>
      </rPr>
      <t>IN</t>
    </r>
    <r>
      <rPr>
        <sz val="10"/>
        <rFont val="Arial"/>
        <family val="2"/>
      </rPr>
      <t xml:space="preserve"> = </t>
    </r>
  </si>
  <si>
    <t>GRAPH:</t>
  </si>
  <si>
    <t>Selected Rs =</t>
  </si>
  <si>
    <r>
      <t>Selected R</t>
    </r>
    <r>
      <rPr>
        <vertAlign val="subscript"/>
        <sz val="10"/>
        <rFont val="Arial"/>
        <family val="2"/>
      </rPr>
      <t>PWR</t>
    </r>
    <r>
      <rPr>
        <sz val="10"/>
        <rFont val="Arial"/>
        <family val="2"/>
      </rPr>
      <t xml:space="preserve"> =</t>
    </r>
  </si>
  <si>
    <t>Max System voltage =</t>
  </si>
  <si>
    <t>Current Lim (min) =</t>
  </si>
  <si>
    <t>Current Lim (typ) =</t>
  </si>
  <si>
    <t>Current Lim (max) =</t>
  </si>
  <si>
    <t>Power Limit (min) =</t>
  </si>
  <si>
    <t>Power Limit (typ) =</t>
  </si>
  <si>
    <t>Power Limit (max) =</t>
  </si>
  <si>
    <t>A) This table calculates the Ids current based</t>
  </si>
  <si>
    <t>B) This table corrrects the table at left so no</t>
  </si>
  <si>
    <t>on power limit only - no current limit info.</t>
  </si>
  <si>
    <t>current is greater than the current limit.</t>
  </si>
  <si>
    <t>Vds</t>
  </si>
  <si>
    <t>Min</t>
  </si>
  <si>
    <t>Typ</t>
  </si>
  <si>
    <t>Max</t>
  </si>
  <si>
    <t>SOA data points from</t>
  </si>
  <si>
    <t>the customer's SOA</t>
  </si>
  <si>
    <t>data he entered.</t>
  </si>
  <si>
    <t>User's</t>
  </si>
  <si>
    <t>Ids</t>
  </si>
  <si>
    <t>x = customer's entry</t>
  </si>
  <si>
    <t>x</t>
  </si>
  <si>
    <t>SOA</t>
  </si>
  <si>
    <t>C) This table creates the</t>
  </si>
  <si>
    <t>µF</t>
  </si>
  <si>
    <r>
      <t>k</t>
    </r>
    <r>
      <rPr>
        <sz val="10"/>
        <rFont val="Symbol"/>
        <family val="1"/>
        <charset val="2"/>
      </rPr>
      <t>W</t>
    </r>
  </si>
  <si>
    <r>
      <t>m</t>
    </r>
    <r>
      <rPr>
        <sz val="10"/>
        <rFont val="Symbol"/>
        <family val="1"/>
        <charset val="2"/>
      </rPr>
      <t>W</t>
    </r>
  </si>
  <si>
    <t>V</t>
  </si>
  <si>
    <t>W</t>
  </si>
  <si>
    <t>D) This table changes ID values to zero for Vds&gt;Vin(max)</t>
  </si>
  <si>
    <t>and adds the SOA curve. This data is plotted.</t>
  </si>
  <si>
    <r>
      <t>1. Although not mandatory, C</t>
    </r>
    <r>
      <rPr>
        <vertAlign val="subscript"/>
        <sz val="10"/>
        <rFont val="Arial"/>
        <family val="2"/>
      </rPr>
      <t>IN</t>
    </r>
    <r>
      <rPr>
        <sz val="10"/>
        <rFont val="Arial"/>
        <family val="2"/>
      </rPr>
      <t xml:space="preserve"> provides transient suppression at the VIN pin</t>
    </r>
  </si>
  <si>
    <t>Resulting Typical Restart Time</t>
  </si>
  <si>
    <t>Desired Upper UVLO Threshold</t>
  </si>
  <si>
    <t>Desired Lower UVLO Threshold</t>
  </si>
  <si>
    <t>Desired Lower OVLO Threshold</t>
  </si>
  <si>
    <t xml:space="preserve">Resulting Upper UVLO Threshold = </t>
  </si>
  <si>
    <t xml:space="preserve">Resulting Lower UVLO Threshold = </t>
  </si>
  <si>
    <t xml:space="preserve">Resulting Upper OVLO Threshold = </t>
  </si>
  <si>
    <t xml:space="preserve">Resulting Lower OVLO Threshold = </t>
  </si>
  <si>
    <t>Resulting Minimum Current Limit</t>
  </si>
  <si>
    <t>Resulting Typical Current Limit</t>
  </si>
  <si>
    <t>Resulting Maximum Current Limit</t>
  </si>
  <si>
    <t>Desired Upper OVLO Threshold</t>
  </si>
  <si>
    <t>Calculated Values are shown in White Cells</t>
  </si>
  <si>
    <t>www.ti.com/hotswap</t>
  </si>
  <si>
    <t xml:space="preserve">Enter the Resistance for R1 </t>
  </si>
  <si>
    <t xml:space="preserve">Enter the Resistance for R2 </t>
  </si>
  <si>
    <t xml:space="preserve">Enter the Resistance for R3 </t>
  </si>
  <si>
    <t xml:space="preserve">Enter the Resistance for R4 </t>
  </si>
  <si>
    <r>
      <t>Enter the Resistance for R</t>
    </r>
    <r>
      <rPr>
        <vertAlign val="subscript"/>
        <sz val="10"/>
        <rFont val="Arial"/>
        <family val="2"/>
      </rPr>
      <t>S</t>
    </r>
  </si>
  <si>
    <t>2. A TVS clamp from VIN to GND is absolutely mandatory to clamp the voltage overshoot upon MOSFET turn-off, e.g. during circuit breaker</t>
  </si>
  <si>
    <r>
      <t>Minimum Input Operating Voltage: V</t>
    </r>
    <r>
      <rPr>
        <vertAlign val="subscript"/>
        <sz val="10"/>
        <rFont val="Arial"/>
        <family val="2"/>
      </rPr>
      <t>IN(MIN)</t>
    </r>
  </si>
  <si>
    <r>
      <t>Maximum Input Operating Voltage: V</t>
    </r>
    <r>
      <rPr>
        <vertAlign val="subscript"/>
        <sz val="10"/>
        <rFont val="Arial"/>
        <family val="2"/>
      </rPr>
      <t>IN(MAX)</t>
    </r>
  </si>
  <si>
    <r>
      <t>Maximum Power Dissipation in R</t>
    </r>
    <r>
      <rPr>
        <vertAlign val="subscript"/>
        <sz val="10"/>
        <rFont val="Arial"/>
        <family val="2"/>
      </rPr>
      <t>S</t>
    </r>
  </si>
  <si>
    <r>
      <t>Enter the Resistance for R</t>
    </r>
    <r>
      <rPr>
        <vertAlign val="subscript"/>
        <sz val="10"/>
        <rFont val="Arial"/>
        <family val="2"/>
      </rPr>
      <t>PG</t>
    </r>
  </si>
  <si>
    <t>Desired PGD Rising Threshold</t>
  </si>
  <si>
    <t>Desired PGD Hysteresis</t>
  </si>
  <si>
    <t>Ramp time for output voltage</t>
  </si>
  <si>
    <t>Nominal output voltage</t>
  </si>
  <si>
    <t>Required soft-start capacitance</t>
  </si>
  <si>
    <t>nF</t>
  </si>
  <si>
    <r>
      <t>Nominal Input Operating Voltage: V</t>
    </r>
    <r>
      <rPr>
        <vertAlign val="subscript"/>
        <sz val="10"/>
        <rFont val="Arial"/>
        <family val="2"/>
      </rPr>
      <t>IN(NOM)</t>
    </r>
  </si>
  <si>
    <r>
      <t>Maximum Ambient Operating Temperature: T</t>
    </r>
    <r>
      <rPr>
        <vertAlign val="subscript"/>
        <sz val="10"/>
        <rFont val="Arial"/>
        <family val="2"/>
      </rPr>
      <t>MAX</t>
    </r>
  </si>
  <si>
    <r>
      <t>Maximum Load Current: I</t>
    </r>
    <r>
      <rPr>
        <vertAlign val="subscript"/>
        <sz val="10"/>
        <rFont val="Arial"/>
        <family val="2"/>
      </rPr>
      <t>OUT(MAX)</t>
    </r>
  </si>
  <si>
    <t>#</t>
  </si>
  <si>
    <r>
      <rPr>
        <vertAlign val="superscript"/>
        <sz val="10"/>
        <rFont val="Arial"/>
        <family val="2"/>
      </rPr>
      <t>o</t>
    </r>
    <r>
      <rPr>
        <sz val="10"/>
        <rFont val="Arial"/>
        <family val="2"/>
      </rPr>
      <t>C</t>
    </r>
  </si>
  <si>
    <t>Maximum FET Junction Temperature</t>
  </si>
  <si>
    <t>1ms SOA Current Maximum Input Voltage</t>
  </si>
  <si>
    <t>Current Limit</t>
  </si>
  <si>
    <t>Step 4: Startup</t>
  </si>
  <si>
    <t>Startup Load Type</t>
  </si>
  <si>
    <t>Startup Load Value</t>
  </si>
  <si>
    <t>Constant Current</t>
  </si>
  <si>
    <t>Resistive</t>
  </si>
  <si>
    <t>Vout</t>
  </si>
  <si>
    <t>ILOAD</t>
  </si>
  <si>
    <t xml:space="preserve">Start-up slop </t>
  </si>
  <si>
    <t>QG</t>
  </si>
  <si>
    <t>I_Src</t>
  </si>
  <si>
    <t>RMS</t>
  </si>
  <si>
    <t>PLIM</t>
  </si>
  <si>
    <t>combined</t>
  </si>
  <si>
    <t>I_timer</t>
  </si>
  <si>
    <t>C_timer</t>
  </si>
  <si>
    <t>Final</t>
  </si>
  <si>
    <t>Time</t>
  </si>
  <si>
    <t>Startup</t>
  </si>
  <si>
    <t>FET Selection</t>
  </si>
  <si>
    <t>Nominal</t>
  </si>
  <si>
    <t>Derated at TJ</t>
  </si>
  <si>
    <t>Operating Conditions</t>
  </si>
  <si>
    <t>Input Voltage</t>
  </si>
  <si>
    <t>Threshold Voltage CL = GND</t>
  </si>
  <si>
    <t>Threshold Voltage CL = VDD</t>
  </si>
  <si>
    <t>Sense input Current</t>
  </si>
  <si>
    <t>Units</t>
  </si>
  <si>
    <t>uA</t>
  </si>
  <si>
    <t>Circuit Breaker</t>
  </si>
  <si>
    <t>Timer</t>
  </si>
  <si>
    <t>Upper Threshold</t>
  </si>
  <si>
    <t>Insertion Time Current</t>
  </si>
  <si>
    <t>Fault detection current</t>
  </si>
  <si>
    <t>ICAP</t>
  </si>
  <si>
    <t>Junction Temperature</t>
  </si>
  <si>
    <t>VIN</t>
  </si>
  <si>
    <t>Power Limit</t>
  </si>
  <si>
    <t>mV</t>
  </si>
  <si>
    <t>Minimum Power Limit=</t>
  </si>
  <si>
    <t>Look Up</t>
  </si>
  <si>
    <t>1ms</t>
  </si>
  <si>
    <t>10ms</t>
  </si>
  <si>
    <t>100ms</t>
  </si>
  <si>
    <t>Final SOA</t>
  </si>
  <si>
    <t>time</t>
  </si>
  <si>
    <t>Voltage</t>
  </si>
  <si>
    <t>Lower time</t>
  </si>
  <si>
    <t>Higher timer</t>
  </si>
  <si>
    <t>I (lower time)</t>
  </si>
  <si>
    <t>I (higher time)</t>
  </si>
  <si>
    <t>a</t>
  </si>
  <si>
    <t>m</t>
  </si>
  <si>
    <t>Extr. I</t>
  </si>
  <si>
    <t>Assuming Power vs time is linear on a log-log plot</t>
  </si>
  <si>
    <t>Interpolated Power=</t>
  </si>
  <si>
    <t xml:space="preserve">Max Power with Temp Derating = </t>
  </si>
  <si>
    <t>Load Turn-On Threshold</t>
  </si>
  <si>
    <t>a = iSOA1/tSOA1^m</t>
  </si>
  <si>
    <t>m = log(iSOA1/iSOA2)/log(tSOA1/tSOA2)</t>
  </si>
  <si>
    <t>I = a * t^m</t>
  </si>
  <si>
    <t>Derating factor =</t>
  </si>
  <si>
    <t>No</t>
  </si>
  <si>
    <t>Yes</t>
  </si>
  <si>
    <t>Gate</t>
  </si>
  <si>
    <t>Resulting Typical Insertion Delay Time</t>
  </si>
  <si>
    <r>
      <t>Use External Resistor Divider to Reduce Effecitve R</t>
    </r>
    <r>
      <rPr>
        <vertAlign val="subscript"/>
        <sz val="10"/>
        <rFont val="Arial"/>
        <family val="2"/>
      </rPr>
      <t>S</t>
    </r>
  </si>
  <si>
    <t>V/S</t>
  </si>
  <si>
    <t>Gate Sourcing Current</t>
  </si>
  <si>
    <t>Recommended Value for RCL1</t>
  </si>
  <si>
    <t>Recommended Value for RCL2</t>
  </si>
  <si>
    <t>Enter value for RCL1</t>
  </si>
  <si>
    <t>Enter value for RCL2</t>
  </si>
  <si>
    <t>CLMAX =</t>
  </si>
  <si>
    <t xml:space="preserve">CLNOM = </t>
  </si>
  <si>
    <t>CLMIN =</t>
  </si>
  <si>
    <t>RCL1 Recommended  =</t>
  </si>
  <si>
    <t>RCL2 Recommmended =</t>
  </si>
  <si>
    <t>Effective Rs =</t>
  </si>
  <si>
    <t>Step 5: UVLO, OVLO &amp; PGD Thresholds</t>
  </si>
  <si>
    <r>
      <t>C</t>
    </r>
    <r>
      <rPr>
        <vertAlign val="subscript"/>
        <sz val="10"/>
        <rFont val="Arial"/>
        <family val="2"/>
      </rPr>
      <t>VDD</t>
    </r>
    <r>
      <rPr>
        <sz val="10"/>
        <rFont val="Arial"/>
        <family val="2"/>
      </rPr>
      <t xml:space="preserve"> =</t>
    </r>
  </si>
  <si>
    <r>
      <t>C</t>
    </r>
    <r>
      <rPr>
        <vertAlign val="subscript"/>
        <sz val="10"/>
        <rFont val="Arial"/>
        <family val="2"/>
      </rPr>
      <t>VREF</t>
    </r>
    <r>
      <rPr>
        <sz val="10"/>
        <rFont val="Arial"/>
        <family val="2"/>
      </rPr>
      <t xml:space="preserve"> =</t>
    </r>
  </si>
  <si>
    <r>
      <t>R</t>
    </r>
    <r>
      <rPr>
        <vertAlign val="subscript"/>
        <sz val="11"/>
        <color theme="1"/>
        <rFont val="Arial"/>
        <family val="2"/>
      </rPr>
      <t>CL1</t>
    </r>
    <r>
      <rPr>
        <sz val="11"/>
        <color theme="1"/>
        <rFont val="Arial"/>
        <family val="2"/>
      </rPr>
      <t xml:space="preserve"> =</t>
    </r>
  </si>
  <si>
    <r>
      <t>R</t>
    </r>
    <r>
      <rPr>
        <vertAlign val="subscript"/>
        <sz val="11"/>
        <color theme="1"/>
        <rFont val="Arial"/>
        <family val="2"/>
      </rPr>
      <t>CL2</t>
    </r>
    <r>
      <rPr>
        <sz val="11"/>
        <color theme="1"/>
        <rFont val="Arial"/>
        <family val="2"/>
      </rPr>
      <t xml:space="preserve"> =</t>
    </r>
  </si>
  <si>
    <t>Design Summary</t>
  </si>
  <si>
    <t>Current limit</t>
  </si>
  <si>
    <t>Startup Time</t>
  </si>
  <si>
    <t>Insertion Delay</t>
  </si>
  <si>
    <t>Fault Timeout</t>
  </si>
  <si>
    <t>Restart Time During Fault</t>
  </si>
  <si>
    <t>Upper UVLO Threshold</t>
  </si>
  <si>
    <t>Lower OVLO Threshold</t>
  </si>
  <si>
    <t>Lower UVLO Threshold</t>
  </si>
  <si>
    <t>Upper OVLO Threshold</t>
  </si>
  <si>
    <t>PGD Hystersis</t>
  </si>
  <si>
    <t>PGD Threshold</t>
  </si>
  <si>
    <t>100us</t>
  </si>
  <si>
    <t>Circuit Breaker to Current Limit Raitio</t>
  </si>
  <si>
    <r>
      <t>Maximum Output Load Capacitance: C</t>
    </r>
    <r>
      <rPr>
        <vertAlign val="subscript"/>
        <sz val="10"/>
        <rFont val="Arial"/>
        <family val="2"/>
      </rPr>
      <t>LOAD</t>
    </r>
  </si>
  <si>
    <t>Connect CB Pin to</t>
  </si>
  <si>
    <t>Connect CL Pin to</t>
  </si>
  <si>
    <t>Nominal PGD Rising Threhold</t>
  </si>
  <si>
    <t>Nominal PGD Hysteresis</t>
  </si>
  <si>
    <t>Connect /Retry to</t>
  </si>
  <si>
    <t>Min Insertion time =</t>
  </si>
  <si>
    <t>Max Insertion time =</t>
  </si>
  <si>
    <t xml:space="preserve">Min Restart time = </t>
  </si>
  <si>
    <t>Timer Pin</t>
  </si>
  <si>
    <t>Lower Threshold (Restart)</t>
  </si>
  <si>
    <t>End of Cycle</t>
  </si>
  <si>
    <t>Re-enable threshold</t>
  </si>
  <si>
    <t>Insertion time current</t>
  </si>
  <si>
    <t>Sink current, end of insertion</t>
  </si>
  <si>
    <t>Fault sink current</t>
  </si>
  <si>
    <t>Fault Response</t>
  </si>
  <si>
    <t>Retry</t>
  </si>
  <si>
    <t>Latch Off</t>
  </si>
  <si>
    <t>Power Good</t>
  </si>
  <si>
    <t>PGVOL</t>
  </si>
  <si>
    <t>mA sinking</t>
  </si>
  <si>
    <t>FB Pin</t>
  </si>
  <si>
    <t>FB Threshold</t>
  </si>
  <si>
    <t>FB Hysteresis Current</t>
  </si>
  <si>
    <t>Max PG Threshold =</t>
  </si>
  <si>
    <t>Nom PG Threshold =</t>
  </si>
  <si>
    <t>Min PG Threshold =</t>
  </si>
  <si>
    <t>Max Restart time =</t>
  </si>
  <si>
    <t>Min PG Hysteresis =</t>
  </si>
  <si>
    <t>Nom PG Hysteresis =</t>
  </si>
  <si>
    <t>Max PG Hysteresis =</t>
  </si>
  <si>
    <t>Recommended Resistance for:  R1</t>
  </si>
  <si>
    <r>
      <t>Estimated MOSFET R</t>
    </r>
    <r>
      <rPr>
        <sz val="10"/>
        <rFont val="Symbol"/>
        <family val="1"/>
        <charset val="2"/>
      </rPr>
      <t>Q</t>
    </r>
    <r>
      <rPr>
        <vertAlign val="subscript"/>
        <sz val="10"/>
        <rFont val="Arial"/>
        <family val="2"/>
      </rPr>
      <t>JA</t>
    </r>
  </si>
  <si>
    <t>Values Used</t>
  </si>
  <si>
    <t xml:space="preserve"> </t>
  </si>
  <si>
    <t>Current Limit Range (CL)</t>
  </si>
  <si>
    <r>
      <t>Effective Sense Resistance (R</t>
    </r>
    <r>
      <rPr>
        <vertAlign val="subscript"/>
        <sz val="10"/>
        <rFont val="Arial"/>
        <family val="2"/>
      </rPr>
      <t>S,EFF</t>
    </r>
    <r>
      <rPr>
        <sz val="10"/>
        <rFont val="Arial"/>
        <family val="2"/>
      </rPr>
      <t>)</t>
    </r>
  </si>
  <si>
    <t>Maximum Recommended Value for Effective Sense Resistance</t>
  </si>
  <si>
    <r>
      <t>Maximum steady state FET Junction Temperature (T</t>
    </r>
    <r>
      <rPr>
        <vertAlign val="subscript"/>
        <sz val="10"/>
        <rFont val="Arial"/>
        <family val="2"/>
      </rPr>
      <t>J,DC</t>
    </r>
    <r>
      <rPr>
        <sz val="10"/>
        <rFont val="Arial"/>
        <family val="2"/>
      </rPr>
      <t>)</t>
    </r>
  </si>
  <si>
    <r>
      <t>MOSFET On resistance @ T</t>
    </r>
    <r>
      <rPr>
        <vertAlign val="subscript"/>
        <sz val="10"/>
        <rFont val="Arial"/>
        <family val="2"/>
      </rPr>
      <t>J,DC</t>
    </r>
  </si>
  <si>
    <t>Systematic Offset</t>
  </si>
  <si>
    <t>Minimum Recommended Vsns</t>
  </si>
  <si>
    <t>&lt;= I am assuming this would have +/- 50% error at best</t>
  </si>
  <si>
    <t>A_coeff</t>
  </si>
  <si>
    <t>Vsns = Rpwr / (A*Vds) + Vos,syst</t>
  </si>
  <si>
    <t xml:space="preserve">Example: </t>
  </si>
  <si>
    <t>Rpwr</t>
  </si>
  <si>
    <t>Plim</t>
  </si>
  <si>
    <t>Rsns (m-ohm)</t>
  </si>
  <si>
    <t>Vsns (mV)</t>
  </si>
  <si>
    <t xml:space="preserve">Key Equations: </t>
  </si>
  <si>
    <t>How Plim varries vs Vds:</t>
  </si>
  <si>
    <t>Plim (Vds) = Plim (Vin,max) + (Vds - Vin,max)*Vos,syst/Rs</t>
  </si>
  <si>
    <t>Ex: Plim @ 13V = 100W, Rs = 0.5; Plim @ (Vds = 5V) = 100W - 7V * 1mV/0.5mili-ohm = 100W - 14W = 86W</t>
  </si>
  <si>
    <t>Target Power Limit</t>
  </si>
  <si>
    <r>
      <t>Calculated R</t>
    </r>
    <r>
      <rPr>
        <vertAlign val="subscript"/>
        <sz val="10"/>
        <rFont val="Arial"/>
        <family val="2"/>
      </rPr>
      <t>PWR</t>
    </r>
  </si>
  <si>
    <t>Target PLIM</t>
  </si>
  <si>
    <t>k-ohm</t>
  </si>
  <si>
    <r>
      <t>Actual R</t>
    </r>
    <r>
      <rPr>
        <vertAlign val="subscript"/>
        <sz val="10"/>
        <rFont val="Arial"/>
        <family val="2"/>
      </rPr>
      <t>PWR</t>
    </r>
  </si>
  <si>
    <t>Rpwr actual</t>
  </si>
  <si>
    <t>Final Plim</t>
  </si>
  <si>
    <t>Actual PLIM</t>
  </si>
  <si>
    <t>ILIM</t>
  </si>
  <si>
    <t>Load type</t>
  </si>
  <si>
    <t>Load Value</t>
  </si>
  <si>
    <t>Load start</t>
  </si>
  <si>
    <t>Rs</t>
  </si>
  <si>
    <t>Vos,syst</t>
  </si>
  <si>
    <r>
      <rPr>
        <b/>
        <u/>
        <sz val="10"/>
        <rFont val="Symbol"/>
        <family val="1"/>
        <charset val="2"/>
      </rPr>
      <t>D</t>
    </r>
    <r>
      <rPr>
        <b/>
        <u/>
        <sz val="10"/>
        <rFont val="Arial"/>
        <family val="2"/>
      </rPr>
      <t>t</t>
    </r>
  </si>
  <si>
    <t>IFET</t>
  </si>
  <si>
    <t>I_Fet-IL margin</t>
  </si>
  <si>
    <t>Start-time</t>
  </si>
  <si>
    <t>I_fet-I_L margin</t>
  </si>
  <si>
    <t>Slop for calculations</t>
  </si>
  <si>
    <t>Note: We get additional buffer, b/c this is designed for a Vinmax, while typically Vin = Vinnom</t>
  </si>
  <si>
    <t>&lt;= mean root square(T_start_error_Plim, timer_error, cap_error); T_start proportional to 1/Plim =&gt; T_start_error_plim = 1/(1-Plim_err) - 1 = 1/(1-0.4) - 1 = 0.66</t>
  </si>
  <si>
    <t>Computed Start - Up Slop</t>
  </si>
  <si>
    <t>Typical Start Time with Vinmax (Tstart)</t>
  </si>
  <si>
    <t>Target Fault Timer: Tstart + Margin</t>
  </si>
  <si>
    <t>Typical Start time</t>
  </si>
  <si>
    <t>Start-slop</t>
  </si>
  <si>
    <t>Target Fault Timer</t>
  </si>
  <si>
    <t>Target Timer capacitance</t>
  </si>
  <si>
    <t>Selected Timer capacitance</t>
  </si>
  <si>
    <t>IFET - ILOAD margin (lowest for Vout range)</t>
  </si>
  <si>
    <t xml:space="preserve">Selected Timer capacitance </t>
  </si>
  <si>
    <t>Final Fault Timer</t>
  </si>
  <si>
    <t>Note: I added an adjustment for the systematic offset</t>
  </si>
  <si>
    <t>Vos syst</t>
  </si>
  <si>
    <t>Rs (ohm)</t>
  </si>
  <si>
    <t>Vin, max</t>
  </si>
  <si>
    <t>Plim tolerance</t>
  </si>
  <si>
    <t>Temp Derated SOA</t>
  </si>
  <si>
    <t>Derated SOA / PLIM</t>
  </si>
  <si>
    <t>SOA / PLIM</t>
  </si>
  <si>
    <t>IFET_PLIM</t>
  </si>
  <si>
    <t>I_FET_SS</t>
  </si>
  <si>
    <t>SS</t>
  </si>
  <si>
    <t>FET Power dissapation at full load (per FET)</t>
  </si>
  <si>
    <t>With PLIM</t>
  </si>
  <si>
    <t>dv/dt rate</t>
  </si>
  <si>
    <t>V/ms</t>
  </si>
  <si>
    <t>I_Cout</t>
  </si>
  <si>
    <t>With SS</t>
  </si>
  <si>
    <t>To avoid timer running: Iload + Icap,ss &lt; IFET_PLIM / 2 =&gt; SS_RATE &lt; 1/Cout * (IFET_PLIM/2 - ILOAD)</t>
  </si>
  <si>
    <t>Max_SS_Rate</t>
  </si>
  <si>
    <t>FET_ENERGY</t>
  </si>
  <si>
    <t>J</t>
  </si>
  <si>
    <t>Max _allowed SS_rate</t>
  </si>
  <si>
    <t>Power (W)</t>
  </si>
  <si>
    <t>P_ fast_SS</t>
  </si>
  <si>
    <t>P_slow_SS</t>
  </si>
  <si>
    <t>I_g(hi/nom)</t>
  </si>
  <si>
    <t>I_g(low/nom)</t>
  </si>
  <si>
    <t>max_power_typ</t>
  </si>
  <si>
    <t>max_power_low</t>
  </si>
  <si>
    <t>max_power_high</t>
  </si>
  <si>
    <t>typical start time</t>
  </si>
  <si>
    <t>FET Energy dissipated at start-up (EFET)</t>
  </si>
  <si>
    <t>Peak Power dissipated  during start-up (PFET)</t>
  </si>
  <si>
    <t>Equivalent time at peak power - EFET/PFET (t_power)</t>
  </si>
  <si>
    <t>Available SOA for t_power at Vinmax</t>
  </si>
  <si>
    <t>SOA margin</t>
  </si>
  <si>
    <t>SOA Predictor - dv/dt start-up</t>
  </si>
  <si>
    <t>calculated SS capacitance</t>
  </si>
  <si>
    <t>actual SS capacitance</t>
  </si>
  <si>
    <t>actual dv/dt rate</t>
  </si>
  <si>
    <t>Target Fault Time</t>
  </si>
  <si>
    <t xml:space="preserve">Calculated Timer Capacitance </t>
  </si>
  <si>
    <t>Actual Timer Capacitance</t>
  </si>
  <si>
    <t>SOA margin during start-up</t>
  </si>
  <si>
    <t>Covering hot-short, start-into short for SS</t>
  </si>
  <si>
    <r>
      <t>Actual Timer Capacitance ( pick one smaller than C</t>
    </r>
    <r>
      <rPr>
        <vertAlign val="subscript"/>
        <sz val="10"/>
        <rFont val="Arial"/>
        <family val="2"/>
      </rPr>
      <t>T,CALC</t>
    </r>
    <r>
      <rPr>
        <sz val="10"/>
        <rFont val="Arial"/>
        <family val="2"/>
      </rPr>
      <t xml:space="preserve">) </t>
    </r>
  </si>
  <si>
    <t>Available derated SOA for Tfault</t>
  </si>
  <si>
    <t>Actual Fault Time (Tfault)</t>
  </si>
  <si>
    <t>dv/dt rate on Vout</t>
  </si>
  <si>
    <t>SOA Check - Based on Timer</t>
  </si>
  <si>
    <t>Final Fault Timer(Tfault)</t>
  </si>
  <si>
    <t>SOA margin during "hot-short" or "start-into short"</t>
  </si>
  <si>
    <t>timer_constant</t>
  </si>
  <si>
    <t>Enter Values in Green Shaded Cells</t>
  </si>
  <si>
    <t>Can a "hot" board be hotplugged</t>
  </si>
  <si>
    <t>Temp for derating</t>
  </si>
  <si>
    <t>board hot?</t>
  </si>
  <si>
    <t>FET_Energy</t>
  </si>
  <si>
    <t>Tiime (ms)</t>
  </si>
  <si>
    <t>Recommended slew Rate (max)</t>
  </si>
  <si>
    <t>Recommended slew Rate (min)</t>
  </si>
  <si>
    <r>
      <t>1ms SOA Current @ V</t>
    </r>
    <r>
      <rPr>
        <vertAlign val="subscript"/>
        <sz val="10"/>
        <rFont val="Arial"/>
        <family val="2"/>
      </rPr>
      <t>IN(MAX)</t>
    </r>
  </si>
  <si>
    <t xml:space="preserve">Key Equations for SOA margin estimate: </t>
  </si>
  <si>
    <t>1) Get total Energy = 1/2 CV^2 + E_load (t_worksheet) * t_start / t_ worksheet</t>
  </si>
  <si>
    <t xml:space="preserve">     note:  t_worksheet is the start time from the start-up worksheet.  E_load = Total Energy @ Start-up - 1/2CV^2</t>
  </si>
  <si>
    <t>2) Get peak power:  4 Possible points with peak power</t>
  </si>
  <si>
    <t>Cap Energy (J)</t>
  </si>
  <si>
    <t>slew rate (V/ms)</t>
  </si>
  <si>
    <t>E_load (t_worksheet)  (J)</t>
  </si>
  <si>
    <t>t_worksheet (ms)</t>
  </si>
  <si>
    <t>t_start (ms)</t>
  </si>
  <si>
    <t>I_cap (A)</t>
  </si>
  <si>
    <t>Total FET Energy (J)</t>
  </si>
  <si>
    <t>Power (load on), (W)</t>
  </si>
  <si>
    <t>SOA margin target</t>
  </si>
  <si>
    <t>Power (Vout= 0) , (W)</t>
  </si>
  <si>
    <t xml:space="preserve">                </t>
  </si>
  <si>
    <t xml:space="preserve"> P = (I_cap + Vout/R ) * (Vin - Vout) = Icap * Vin - Icap * Vout +Vin * Vout / R - Vout^2 / R </t>
  </si>
  <si>
    <t>Vout (dP/dVout = 0) (V)</t>
  </si>
  <si>
    <t xml:space="preserve"> =&gt;  dP/dVout =  -Icap + Vin/R -2Vout /R ;  Zero when Vout = -R*I_cap / 2 + Vin / 2</t>
  </si>
  <si>
    <t xml:space="preserve">Power (@ Vout above, if applicable) </t>
  </si>
  <si>
    <t>max power (W)</t>
  </si>
  <si>
    <t>Equivalent time for SOA (ms)</t>
  </si>
  <si>
    <t>SOA Coefficients</t>
  </si>
  <si>
    <t>0.1 to 1 ms</t>
  </si>
  <si>
    <t>t1</t>
  </si>
  <si>
    <t>t2</t>
  </si>
  <si>
    <t>Available SOA (W)</t>
  </si>
  <si>
    <t>Derated for Temp</t>
  </si>
  <si>
    <t>Temp_start_up</t>
  </si>
  <si>
    <t>SOA Margin</t>
  </si>
  <si>
    <t>Copied Inputs</t>
  </si>
  <si>
    <t># of points</t>
  </si>
  <si>
    <t>mult per point</t>
  </si>
  <si>
    <t xml:space="preserve">Pass? </t>
  </si>
  <si>
    <t>first yes</t>
  </si>
  <si>
    <t>2nd yes</t>
  </si>
  <si>
    <t>N</t>
  </si>
  <si>
    <t>Mult 1</t>
  </si>
  <si>
    <t>mult2</t>
  </si>
  <si>
    <t xml:space="preserve">max slew rate </t>
  </si>
  <si>
    <t>min slew rate</t>
  </si>
  <si>
    <t>Initial</t>
  </si>
  <si>
    <t>26 mV</t>
  </si>
  <si>
    <t>50 mV</t>
  </si>
  <si>
    <t>26mV</t>
  </si>
  <si>
    <t>50mV</t>
  </si>
  <si>
    <t>1.9 x Threshold</t>
  </si>
  <si>
    <t>1.9x CB:CL Ratio</t>
  </si>
  <si>
    <t>3.9 x Threshold</t>
  </si>
  <si>
    <t>3.9x CB:CL Ratio</t>
  </si>
  <si>
    <t>1.9 x Current Limit</t>
  </si>
  <si>
    <t>3.9 x Current Limit</t>
  </si>
  <si>
    <t>Plim (Vds) = 1/Rs * [ Rpwr/A + Vds * Vos, syst=</t>
  </si>
  <si>
    <t xml:space="preserve">      a) At Vin = 0 [mainly if there is no load or constant current load that starts at Vout = 0=</t>
  </si>
  <si>
    <t xml:space="preserve">      b) At Vin = Load start [ constant current=</t>
  </si>
  <si>
    <t xml:space="preserve">      c) When derivative of power = 0  [Peak, applies to resistive loads only=</t>
  </si>
  <si>
    <t>Option C</t>
  </si>
  <si>
    <t>Option D</t>
  </si>
  <si>
    <t>C</t>
  </si>
  <si>
    <t>D</t>
  </si>
  <si>
    <t>Higher time</t>
  </si>
  <si>
    <r>
      <t>Minimum Power Limit to Ensure Vsns &gt; 4mV (P</t>
    </r>
    <r>
      <rPr>
        <vertAlign val="subscript"/>
        <sz val="10"/>
        <rFont val="Arial"/>
        <family val="2"/>
      </rPr>
      <t>LIM,MIN</t>
    </r>
    <r>
      <rPr>
        <sz val="10"/>
        <rFont val="Arial"/>
        <family val="2"/>
      </rPr>
      <t>)</t>
    </r>
  </si>
  <si>
    <r>
      <t>R</t>
    </r>
    <r>
      <rPr>
        <vertAlign val="subscript"/>
        <sz val="11"/>
        <color theme="1"/>
        <rFont val="Arial"/>
        <family val="2"/>
      </rPr>
      <t>SNS</t>
    </r>
    <r>
      <rPr>
        <sz val="11"/>
        <color theme="1"/>
        <rFont val="Arial"/>
        <family val="2"/>
      </rPr>
      <t xml:space="preserve"> =</t>
    </r>
  </si>
  <si>
    <r>
      <t>C</t>
    </r>
    <r>
      <rPr>
        <vertAlign val="subscript"/>
        <sz val="10"/>
        <rFont val="Arial"/>
        <family val="2"/>
      </rPr>
      <t>TIMER</t>
    </r>
    <r>
      <rPr>
        <sz val="10"/>
        <rFont val="Arial"/>
        <family val="2"/>
      </rPr>
      <t xml:space="preserve"> =</t>
    </r>
  </si>
  <si>
    <t>R5 =</t>
  </si>
  <si>
    <t>R6 =</t>
  </si>
  <si>
    <r>
      <t>C</t>
    </r>
    <r>
      <rPr>
        <vertAlign val="subscript"/>
        <sz val="10"/>
        <rFont val="Arial"/>
        <family val="2"/>
      </rPr>
      <t>dv/dt</t>
    </r>
    <r>
      <rPr>
        <sz val="10"/>
        <rFont val="Arial"/>
        <family val="2"/>
      </rPr>
      <t xml:space="preserve"> =</t>
    </r>
  </si>
  <si>
    <t>Note: If any of the cells above are yellow, then these values are outside of the device's operating range. This will result in the device turning either on or off at its operating limits rather than at the user selected values in yellow.</t>
  </si>
  <si>
    <t>&lt;-- Cannot plot zero on a log graph. If slope ~=0, then use 1e-12 as value</t>
  </si>
  <si>
    <t>Settings</t>
  </si>
  <si>
    <t>Upper bound Slew Rate (4ms start-up) (V/ms)</t>
  </si>
  <si>
    <t>Min Slew Rate (400 ms start - up) (V/ms)</t>
  </si>
  <si>
    <t>D2</t>
  </si>
  <si>
    <t>Q3</t>
  </si>
  <si>
    <t>Recommended Resistance for:  R5</t>
  </si>
  <si>
    <t>R6</t>
  </si>
  <si>
    <t>Enter Resistance for: R5</t>
  </si>
  <si>
    <t>Rpwr =  A * [PLIM(Vds) * Rs - 0.043]</t>
  </si>
  <si>
    <t>Lower time (adjusted)</t>
  </si>
  <si>
    <t>Higher time (adjusted)</t>
  </si>
  <si>
    <t>Typical design procedure</t>
  </si>
  <si>
    <t>Notes</t>
  </si>
  <si>
    <t xml:space="preserve">routine, day-to-day calculations.  </t>
  </si>
  <si>
    <t>3. Formulas and device constants used in the spreadsheet are locked to prohibit them from accidentally being overwritten or deleted.</t>
  </si>
  <si>
    <t>© 2014</t>
  </si>
  <si>
    <t xml:space="preserve">Yellow and Red cells highlight potential issues with the design. Red highlights items that are higher risk. </t>
  </si>
  <si>
    <t>2. All worksheets have light green inputs cells, white calculated cells, yellow warning cells and red high-risk cells.</t>
  </si>
  <si>
    <t>1. This worksheet is designed for use with Microsoft Excel 5.0 or later.  Its use is intended to assist power supply designers in their</t>
  </si>
  <si>
    <t>actual typical dv/dt rate on Vout</t>
  </si>
  <si>
    <t>Note: TI recommends choosing a FET with SOA current specified for 100ms and/or 1s or DC. If choosing a FET without these parameters, this calculator will estimate the values via extrapolation, which leaves an inherent associated risk.</t>
  </si>
  <si>
    <t>Note: This is the typical dv/dt rate, but max value can be 2x. This is because the gate source current can vary from 20uA to 40uA. Thus TI recommends keeping the overall SOA margin during start-up &gt;1.5 in order to compensate for this.</t>
  </si>
  <si>
    <t>Z1</t>
  </si>
  <si>
    <t>D1</t>
  </si>
  <si>
    <t>B380-13-F</t>
  </si>
  <si>
    <t>Q1</t>
  </si>
  <si>
    <t>Q2</t>
  </si>
  <si>
    <t>Q1 FET Name</t>
  </si>
  <si>
    <t>Circuit Breaker Threshold</t>
  </si>
  <si>
    <t xml:space="preserve">CB threshold: </t>
  </si>
  <si>
    <t xml:space="preserve">CB threshold </t>
  </si>
  <si>
    <t xml:space="preserve">TEXAS INSTRUMENTS TEXT FILE LICENSE
Copyright (c) 2014 Texas Instruments Incorporated
All rights reserved not granted herein.
Limited License.  
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
Redistributions must preserve existing copyright notices and reproduce this license (including the above copyright notice and the disclaimer and (if applicable) source code license limitations below) in the documentation and/or other materials provided with the distribution
Redistribution and use in binary form, without modification, are permitted provided that the following conditions are met:
* No reverse engineering, decompilation, or disassembly of this software is permitted with respect to any software provided in binary form.
* any redistribution and use are licensed by TI for use only with TI Devices.
* Nothing shall obligate TI to provide you with source code for the software licensed and provided to you in object code.
If software source code is provided to you, modification and redistribution of the source code are permitted provided that the following conditions are met:
* any redistribution and use of the source code, including any resulting derivative works, are licensed by TI for use only with TI Devices.
* any redistribution and use of any object code compiled from the source code and any resulting derivative works, are licensed by TI for use only with TI Devices.
Neither the name of Texas Instruments Incorporated nor the names of its suppliers may be used to endorse or promote products derived from this software without specific prior written permission.
DISCLAIMER.
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</si>
  <si>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Robust Hot Swap Design</t>
  </si>
  <si>
    <t>LM5066I Datasheet (See "Applications and Implementation")</t>
  </si>
  <si>
    <t>LM5066I Datasheet</t>
  </si>
  <si>
    <r>
      <rPr>
        <b/>
        <u/>
        <sz val="10"/>
        <color rgb="FFFF0000"/>
        <rFont val="Arial"/>
        <family val="2"/>
      </rPr>
      <t>Note:</t>
    </r>
    <r>
      <rPr>
        <b/>
        <sz val="10"/>
        <color rgb="FFFF0000"/>
        <rFont val="Arial"/>
        <family val="2"/>
      </rPr>
      <t xml:space="preserve"> Hover here to see the 3 values affecting this curve, consult a thermal expert if you are unsure! </t>
    </r>
  </si>
  <si>
    <t>Design Results</t>
  </si>
  <si>
    <t>Preferred FET Operating Junction Temperature (TJ,DC)</t>
  </si>
  <si>
    <t>System start-up mode</t>
  </si>
  <si>
    <t>Fault timer required</t>
  </si>
  <si>
    <t>Part Number , SOA margin , $1ku</t>
  </si>
  <si>
    <t>Choose FETs for comparison</t>
  </si>
  <si>
    <r>
      <t>10</t>
    </r>
    <r>
      <rPr>
        <sz val="10"/>
        <rFont val="Symbol"/>
        <family val="1"/>
        <charset val="2"/>
      </rPr>
      <t>m</t>
    </r>
    <r>
      <rPr>
        <sz val="10"/>
        <rFont val="Arial"/>
        <family val="2"/>
      </rPr>
      <t>s SOA Current@ V</t>
    </r>
    <r>
      <rPr>
        <vertAlign val="subscript"/>
        <sz val="10"/>
        <rFont val="Arial"/>
        <family val="2"/>
      </rPr>
      <t>IN(MAX)</t>
    </r>
  </si>
  <si>
    <r>
      <t>100</t>
    </r>
    <r>
      <rPr>
        <sz val="10"/>
        <rFont val="Calibri"/>
        <family val="2"/>
      </rPr>
      <t>µ</t>
    </r>
    <r>
      <rPr>
        <sz val="10"/>
        <rFont val="Arial"/>
        <family val="2"/>
      </rPr>
      <t>s SOA Current @ V</t>
    </r>
    <r>
      <rPr>
        <vertAlign val="subscript"/>
        <sz val="10"/>
        <rFont val="Arial"/>
        <family val="2"/>
      </rPr>
      <t>IN(MAX)</t>
    </r>
  </si>
  <si>
    <r>
      <t>10ms  Current at @ V</t>
    </r>
    <r>
      <rPr>
        <vertAlign val="subscript"/>
        <sz val="10"/>
        <rFont val="Arial"/>
        <family val="2"/>
      </rPr>
      <t>IN(MAX)</t>
    </r>
  </si>
  <si>
    <r>
      <t>100ms SOA Current at @ V</t>
    </r>
    <r>
      <rPr>
        <vertAlign val="subscript"/>
        <sz val="10"/>
        <rFont val="Arial"/>
        <family val="2"/>
      </rPr>
      <t>IN(MAX)</t>
    </r>
  </si>
  <si>
    <t>Number of FETs suggested</t>
  </si>
  <si>
    <t>Webpage Link</t>
  </si>
  <si>
    <t>Cost per FET (1k USD)</t>
  </si>
  <si>
    <t>Total Cost of the FETs</t>
  </si>
  <si>
    <t>Non-TI MOSFET</t>
  </si>
  <si>
    <t>CSD18536KTT</t>
  </si>
  <si>
    <t>CSD18535KTT</t>
  </si>
  <si>
    <t>CSD18540Q5B</t>
  </si>
  <si>
    <t>CSD19506KTT</t>
  </si>
  <si>
    <t>CSD19505KTT</t>
  </si>
  <si>
    <t>CSD18532Q5B</t>
  </si>
  <si>
    <t>CSD18532NQ5B</t>
  </si>
  <si>
    <t>CSD18542KTT</t>
  </si>
  <si>
    <t>CSD19502Q5B</t>
  </si>
  <si>
    <t>CSD18532KCS</t>
  </si>
  <si>
    <t>CSD18531Q5A</t>
  </si>
  <si>
    <t>CSD18533Q5A</t>
  </si>
  <si>
    <t>CSD19501KCS</t>
  </si>
  <si>
    <t>CSD18563Q5A</t>
  </si>
  <si>
    <t>CSD19503KCS</t>
  </si>
  <si>
    <t>CSD18534Q5A</t>
  </si>
  <si>
    <t>CSD18543Q3A</t>
  </si>
  <si>
    <t>CSD18537NQ5A</t>
  </si>
  <si>
    <t>CSD19536KTT</t>
  </si>
  <si>
    <t>CSD19535KTT</t>
  </si>
  <si>
    <t>CSD19532Q5B</t>
  </si>
  <si>
    <t>CSD19532KTT</t>
  </si>
  <si>
    <t>CSD19531Q5A</t>
  </si>
  <si>
    <t>CSD19533Q5A</t>
  </si>
  <si>
    <t>CSD19537Q3</t>
  </si>
  <si>
    <t>CSD19534Q5A</t>
  </si>
  <si>
    <t>CSD19538Q2</t>
  </si>
  <si>
    <t>CSD19538Q3A</t>
  </si>
  <si>
    <t>Webpage</t>
  </si>
  <si>
    <t>Enter webpage link</t>
  </si>
  <si>
    <t>https://www.ti.com/product/CSD18536KTT</t>
  </si>
  <si>
    <t>https://www.ti.com/product/CSD18535KTT</t>
  </si>
  <si>
    <t>https://www.ti.com/product/CSD18540Q5B</t>
  </si>
  <si>
    <t>https://www.ti.com/product/CSD19506KTT</t>
  </si>
  <si>
    <t>https://www.ti.com/product/CSD19505KTT</t>
  </si>
  <si>
    <t>https://www.ti.com/product/CSD18532Q5B</t>
  </si>
  <si>
    <t>https://www.ti.com/product/CSD18532NQ5B</t>
  </si>
  <si>
    <t>https://www.ti.com/product/CSD18542KTT</t>
  </si>
  <si>
    <t>https://www.ti.com/product/CSD19502Q5B</t>
  </si>
  <si>
    <t>https://www.ti.com/product/CSD18532KCS</t>
  </si>
  <si>
    <t>https://www.ti.com/product/CSD18531Q5A</t>
  </si>
  <si>
    <t>https://www.ti.com/product/CSD18533Q5A</t>
  </si>
  <si>
    <t>https://www.ti.com/product/CSD19501KCS</t>
  </si>
  <si>
    <t>https://www.ti.com/product/CSD18563Q5A</t>
  </si>
  <si>
    <t>https://www.ti.com/product/CSD19503KCS</t>
  </si>
  <si>
    <t>https://www.ti.com/product/CSD18534Q5A</t>
  </si>
  <si>
    <t>https://www.ti.com/product/CSD18543Q3A</t>
  </si>
  <si>
    <t>https://www.ti.com/product/CSD18537NQ5A</t>
  </si>
  <si>
    <t>https://www.ti.com/product/CSD19536KTT</t>
  </si>
  <si>
    <t>https://www.ti.com/product/CSD19535KTT</t>
  </si>
  <si>
    <t>https://www.ti.com/product/CSD19532Q5B</t>
  </si>
  <si>
    <t>https://www.ti.com/product/CSD19532KTT</t>
  </si>
  <si>
    <t>https://www.ti.com/product/CSD19531Q5A</t>
  </si>
  <si>
    <t>https://www.ti.com/product/CSD19533Q5A</t>
  </si>
  <si>
    <t>https://www.ti.com/product/CSD19537Q3</t>
  </si>
  <si>
    <t>https://www.ti.com/product/CSD19534Q5A</t>
  </si>
  <si>
    <t>https://www.ti.com/product/CSD19538Q2</t>
  </si>
  <si>
    <t>https://www.ti.com/product/CSD19538Q3A</t>
  </si>
  <si>
    <t>Maximum Junction Temperature</t>
  </si>
  <si>
    <r>
      <rPr>
        <sz val="10"/>
        <rFont val="Calibri"/>
        <family val="2"/>
      </rPr>
      <t>°</t>
    </r>
    <r>
      <rPr>
        <sz val="10"/>
        <rFont val="Arial"/>
        <family val="2"/>
      </rPr>
      <t>C</t>
    </r>
  </si>
  <si>
    <t>Maximum Rds(on)</t>
  </si>
  <si>
    <r>
      <t>m</t>
    </r>
    <r>
      <rPr>
        <sz val="10"/>
        <rFont val="Calibri"/>
        <family val="2"/>
      </rPr>
      <t>Ω</t>
    </r>
  </si>
  <si>
    <t>Rds(on) vs Temperature</t>
  </si>
  <si>
    <t>Maximum Load Current</t>
  </si>
  <si>
    <t>Maximum Ambient Temperature</t>
  </si>
  <si>
    <r>
      <t>R</t>
    </r>
    <r>
      <rPr>
        <sz val="10"/>
        <rFont val="Symbol"/>
        <family val="1"/>
        <charset val="2"/>
      </rPr>
      <t>Q</t>
    </r>
    <r>
      <rPr>
        <vertAlign val="subscript"/>
        <sz val="10"/>
        <rFont val="Arial"/>
        <family val="2"/>
      </rPr>
      <t>JA</t>
    </r>
  </si>
  <si>
    <t>°C/W</t>
  </si>
  <si>
    <t xml:space="preserve">Operation Temp required </t>
  </si>
  <si>
    <t>datasheet</t>
  </si>
  <si>
    <t>Not Applicable</t>
  </si>
  <si>
    <t>https://www.ti.com/lit/gpn/csd18536ktt</t>
  </si>
  <si>
    <t>https://www.ti.com/lit/gpn/csd18535ktt</t>
  </si>
  <si>
    <t>https://www.ti.com/lit/gpn/csd18540q5b</t>
  </si>
  <si>
    <t>https://www.ti.com/lit/gpn/csd19506ktt</t>
  </si>
  <si>
    <t>https://www.ti.com/lit/gpn/csd19505ktt</t>
  </si>
  <si>
    <t>https://www.ti.com/lit/gpn/csd18532q5b</t>
  </si>
  <si>
    <t>https://www.ti.com/lit/gpn/csd18532nq5b</t>
  </si>
  <si>
    <t>https://www.ti.com/lit/gpn/csd18542ktt</t>
  </si>
  <si>
    <t>https://www.ti.com/lit/gpn/csd19502q5b</t>
  </si>
  <si>
    <t>https://www.ti.com/lit/gpn/csd18532kcs</t>
  </si>
  <si>
    <t>https://www.ti.com/lit/gpn/csd18531q5a</t>
  </si>
  <si>
    <t>https://www.ti.com/lit/gpn/csd18533q5a</t>
  </si>
  <si>
    <t>https://www.ti.com/lit/gpn/csd19501kcs</t>
  </si>
  <si>
    <t>https://www.ti.com/lit/gpn/csd18563q5a</t>
  </si>
  <si>
    <t>https://www.ti.com/lit/gpn/csd19503kcs</t>
  </si>
  <si>
    <t>https://www.ti.com/lit/gpn/csd18534q5a</t>
  </si>
  <si>
    <t>https://www.ti.com/lit/gpn/csd18543q3a</t>
  </si>
  <si>
    <t>https://www.ti.com/lit/gpn/csd18537nq5a</t>
  </si>
  <si>
    <t>https://www.ti.com/lit/gpn/csd19536ktt</t>
  </si>
  <si>
    <t>https://www.ti.com/lit/gpn/csd19535ktt</t>
  </si>
  <si>
    <t>https://www.ti.com/lit/gpn/csd19532q5b</t>
  </si>
  <si>
    <t>https://www.ti.com/lit/gpn/csd19532ktt</t>
  </si>
  <si>
    <t>https://www.ti.com/lit/gpn/csd19531q5a</t>
  </si>
  <si>
    <t>https://www.ti.com/lit/gpn/csd19533q5a</t>
  </si>
  <si>
    <t>https://www.ti.com/lit/gpn/csd19537q3</t>
  </si>
  <si>
    <t>https://www.ti.com/lit/gpn/csd19534q5a</t>
  </si>
  <si>
    <t>https://www.ti.com/lit/gpn/csd19538q2</t>
  </si>
  <si>
    <t>https://www.ti.com/lit/gpn/csd19538q3a</t>
  </si>
  <si>
    <t>Number of FETs</t>
  </si>
  <si>
    <t>FET round-up</t>
  </si>
  <si>
    <t>FET power dissipation</t>
  </si>
  <si>
    <t>Operating Temperature</t>
  </si>
  <si>
    <t>cost 1k USD</t>
  </si>
  <si>
    <t>Enter cost details</t>
  </si>
  <si>
    <t>Time(ms)</t>
  </si>
  <si>
    <t>Timer Duration</t>
  </si>
  <si>
    <t>Lower Current</t>
  </si>
  <si>
    <t>Higher Timer</t>
  </si>
  <si>
    <t>Higher Current</t>
  </si>
  <si>
    <t>Current</t>
  </si>
  <si>
    <t>Power</t>
  </si>
  <si>
    <t>Derating Factor</t>
  </si>
  <si>
    <t>Power at Hot-Short</t>
  </si>
  <si>
    <t>Margin</t>
  </si>
  <si>
    <t>Selected FET</t>
  </si>
  <si>
    <t>FET1</t>
  </si>
  <si>
    <t>FET2</t>
  </si>
  <si>
    <t>FET3</t>
  </si>
  <si>
    <t>Column Number</t>
  </si>
  <si>
    <t>MOSFET Power Dissipation</t>
  </si>
  <si>
    <t>On resistance at Junction temp</t>
  </si>
  <si>
    <t>webpage link</t>
  </si>
  <si>
    <t>datasheet link</t>
  </si>
  <si>
    <t>$</t>
  </si>
  <si>
    <t>cost</t>
  </si>
  <si>
    <t>power dissipation</t>
  </si>
  <si>
    <t>FET part number (24V)</t>
  </si>
  <si>
    <t>FET display name (24V)</t>
  </si>
  <si>
    <t>FET part number (48V)</t>
  </si>
  <si>
    <t>FET display name (48V)</t>
  </si>
  <si>
    <t>Timer Overview</t>
  </si>
  <si>
    <t>10us SOA Current Maximum Input Voltage</t>
  </si>
  <si>
    <t>100us SOA Current Maximum Input Voltage</t>
  </si>
  <si>
    <t>100ms SOA Current at Maximum Input Voltage</t>
  </si>
  <si>
    <t>10ms SOA Current at Maximum Input Voltage</t>
  </si>
  <si>
    <t>10us</t>
  </si>
  <si>
    <r>
      <rPr>
        <sz val="10"/>
        <rFont val="Calibri"/>
        <family val="2"/>
      </rPr>
      <t>°</t>
    </r>
    <r>
      <rPr>
        <sz val="8.5"/>
        <rFont val="Arial"/>
        <family val="2"/>
      </rPr>
      <t>C</t>
    </r>
  </si>
  <si>
    <t>0.01 to 0.1 ms</t>
  </si>
  <si>
    <t>1 to 10 ms</t>
  </si>
  <si>
    <t>10 to 100 ms</t>
  </si>
  <si>
    <t>FET 1</t>
  </si>
  <si>
    <t>MOSFET's SOA</t>
  </si>
  <si>
    <t>VDS (V)</t>
  </si>
  <si>
    <t>ID (A)</t>
  </si>
  <si>
    <t>FET 2</t>
  </si>
  <si>
    <t>FET 3</t>
  </si>
  <si>
    <t xml:space="preserve">FET 1 </t>
  </si>
  <si>
    <t>1 to 10  ms</t>
  </si>
  <si>
    <t>Soft Start</t>
  </si>
  <si>
    <t># FETs in parallel</t>
  </si>
  <si>
    <t>3. Component tolerances not accounted for in Min/Max Calculations.</t>
  </si>
  <si>
    <r>
      <rPr>
        <b/>
        <u/>
        <sz val="10"/>
        <rFont val="Arial"/>
        <family val="2"/>
      </rPr>
      <t>Note:</t>
    </r>
    <r>
      <rPr>
        <sz val="10"/>
        <rFont val="Arial"/>
        <family val="2"/>
      </rPr>
      <t xml:space="preserve"> Use a resistive divider to fine tune the current limit setting if needed</t>
    </r>
  </si>
  <si>
    <r>
      <rPr>
        <b/>
        <u/>
        <sz val="10"/>
        <rFont val="Arial"/>
        <family val="2"/>
      </rPr>
      <t>Note:</t>
    </r>
    <r>
      <rPr>
        <sz val="10"/>
        <rFont val="Arial"/>
        <family val="2"/>
      </rPr>
      <t xml:space="preserve"> In case none of the FETs satisfy the SOA margin, reduce the load startup conditions</t>
    </r>
  </si>
  <si>
    <r>
      <rPr>
        <b/>
        <u/>
        <sz val="10"/>
        <rFont val="Arial"/>
        <family val="2"/>
      </rPr>
      <t>Note:</t>
    </r>
    <r>
      <rPr>
        <sz val="10"/>
        <rFont val="Arial"/>
        <family val="2"/>
      </rPr>
      <t xml:space="preserve"> In case none of the FETs satisfy the SOA margin, reduce the fault timer</t>
    </r>
  </si>
  <si>
    <t>Select preferred FET from the dropdown menu</t>
  </si>
  <si>
    <t>Note: If none of the FETs are meeting the requirement, reduce the fault timer or select a stronger FET in cell H54</t>
  </si>
  <si>
    <t>Note: If none of the FETs are meeting the requirement, reduce the startup load or select a stronger FET in cell H54</t>
  </si>
  <si>
    <t xml:space="preserve">Step 1: </t>
  </si>
  <si>
    <t>2. Enter FET operating parameters (preferred FET operating junction temperature, thermal impedance)</t>
  </si>
  <si>
    <r>
      <rPr>
        <b/>
        <i/>
        <u/>
        <sz val="10"/>
        <rFont val="Arial"/>
        <family val="2"/>
      </rPr>
      <t>Note:</t>
    </r>
    <r>
      <rPr>
        <b/>
        <i/>
        <sz val="10"/>
        <rFont val="Arial"/>
        <family val="2"/>
      </rPr>
      <t xml:space="preserve"> The tool adjusts the number of FETs required in parallel to maintain the preferred FET operating junction temperature.</t>
    </r>
  </si>
  <si>
    <t>Thermal impedance is required to determine MOSFET SOA margin.</t>
  </si>
  <si>
    <t>3. Enter the load startup conditions (startup mode, startup load type, load turn on threshold, startup load value)</t>
  </si>
  <si>
    <t>Step 2:</t>
  </si>
  <si>
    <t>1. Set the current limit settings. Use a resistive divider to reduce effective sense resistance if needed.</t>
  </si>
  <si>
    <t>Step 3:</t>
  </si>
  <si>
    <t>1. Select MOSFETs from the dropdown menu.</t>
  </si>
  <si>
    <r>
      <rPr>
        <b/>
        <i/>
        <u/>
        <sz val="10"/>
        <rFont val="Arial"/>
        <family val="2"/>
      </rPr>
      <t>Note:</t>
    </r>
    <r>
      <rPr>
        <b/>
        <i/>
        <sz val="10"/>
        <rFont val="Arial"/>
        <family val="2"/>
      </rPr>
      <t xml:space="preserve"> You can also enter the SOA data of a non-TI FET to compare it with TI FETs.</t>
    </r>
  </si>
  <si>
    <t>An SOA margin greater than 1.1 is required and greater than 1.3 is recommended for safe operation</t>
  </si>
  <si>
    <t>3. If none of the FETs satisfy the SOA margin, try to change the following parameters:</t>
  </si>
  <si>
    <r>
      <rPr>
        <b/>
        <i/>
        <u/>
        <sz val="10"/>
        <rFont val="Arial"/>
        <family val="2"/>
      </rPr>
      <t>Note:</t>
    </r>
    <r>
      <rPr>
        <b/>
        <i/>
        <sz val="10"/>
        <rFont val="Arial"/>
        <family val="2"/>
      </rPr>
      <t xml:space="preserve"> The FETs selected in this section will be available as the final choices in the next section.</t>
    </r>
  </si>
  <si>
    <t>(Links to the TI FET product pages have been provided)</t>
  </si>
  <si>
    <t>Step 4:</t>
  </si>
  <si>
    <t>1. Select an FET from the dropdown menu.</t>
  </si>
  <si>
    <t>2. Review start up conditions to check whether selected FET is operating with reasonable margin, within the SOA curve.</t>
  </si>
  <si>
    <t>Step 5:</t>
  </si>
  <si>
    <t>1. Enter desired UVLO and OVLO threshold values to get recommended resistor values.</t>
  </si>
  <si>
    <t>2. In case any of the cells in the threshold table is highlighted in red, adjust the resistor values.</t>
  </si>
  <si>
    <t xml:space="preserve">3. If nearest resistor values still give red highlighted cells, change the configuration </t>
  </si>
  <si>
    <t>Step 6:</t>
  </si>
  <si>
    <t>Done. View the design summary with all the results</t>
  </si>
  <si>
    <t>LM5066/I Design Tool with FET Recommendation - Rev. A</t>
  </si>
  <si>
    <t xml:space="preserve">Before proceeding, please go through the application note </t>
  </si>
  <si>
    <t xml:space="preserve">and the design example in the </t>
  </si>
  <si>
    <t>2.  Compare their SOA margin, cost, power dissipation at full load and number of FETs required in parallel to know which FET fits your design perfectly.</t>
  </si>
  <si>
    <t>1. Enter your system parameters (operating voltage limits, load current, load capacitance, system max ambient temperature )</t>
  </si>
  <si>
    <t>2. Select Target power limit greater than the Minimum Recommended Power Limit threshold</t>
  </si>
  <si>
    <r>
      <rPr>
        <b/>
        <i/>
        <u/>
        <sz val="10"/>
        <rFont val="Arial"/>
        <family val="2"/>
      </rPr>
      <t>Note:</t>
    </r>
    <r>
      <rPr>
        <b/>
        <i/>
        <sz val="10"/>
        <rFont val="Arial"/>
        <family val="2"/>
      </rPr>
      <t xml:space="preserve"> Thermal impedance is heavily dependent on the board layout and the amount of copper connected to the drain of the FET. </t>
    </r>
  </si>
  <si>
    <t>a. In case of power limit startup mode, reduce the load startup conditions or use a different FET in the non-TI FET column.</t>
  </si>
  <si>
    <t xml:space="preserve">b. In case of soft start startup mode, reduce the fault timer or use a different FET in the non-TI FET column. </t>
  </si>
  <si>
    <t>3. Adjust Soft-start and Timer capacitances to get accurate SOA measurements.</t>
  </si>
  <si>
    <t>* Comments on the data to be filled/expected are provided to guide you</t>
  </si>
  <si>
    <r>
      <t xml:space="preserve">                         </t>
    </r>
    <r>
      <rPr>
        <sz val="22"/>
        <color theme="0"/>
        <rFont val="Arial"/>
        <family val="2"/>
      </rPr>
      <t>LM5066/I PMBus Hot Swap Design Tool with FET Recommendation</t>
    </r>
  </si>
  <si>
    <t>Scroll down the dropdown menu to select MOSFET</t>
  </si>
  <si>
    <t>NON-TI MOSFET</t>
  </si>
  <si>
    <t>Step 1: System Parameters</t>
  </si>
  <si>
    <t>Step 2:  Current Limit and Power Limit Selection</t>
  </si>
  <si>
    <t>Step 3: MOSFET Suggestions</t>
  </si>
  <si>
    <t>MOSFET from Non-TI Suppliers</t>
  </si>
  <si>
    <t>Enter Webpage Link</t>
  </si>
  <si>
    <t>Enter Cost Details</t>
  </si>
  <si>
    <t>*For additional questions not addressed in the instructions, please post on E2E.ti.com</t>
  </si>
  <si>
    <t>CSD19536KTT , 2.63 , $1.972</t>
  </si>
  <si>
    <t>CSD19535KTT , 1.16 , $1.313</t>
  </si>
  <si>
    <t>Latch Off</t>
    <phoneticPr fontId="5" type="noConversion"/>
  </si>
  <si>
    <t>MMBT3904</t>
    <phoneticPr fontId="5" type="noConversion"/>
  </si>
  <si>
    <t>CSD19536KTT , 1.23 , $1.972</t>
  </si>
  <si>
    <r>
      <rPr>
        <b/>
        <u/>
        <sz val="10"/>
        <rFont val="Arial"/>
        <family val="2"/>
      </rPr>
      <t>Note:</t>
    </r>
    <r>
      <rPr>
        <sz val="10"/>
        <rFont val="Arial"/>
        <family val="2"/>
      </rPr>
      <t xml:space="preserve"> The tool adjusts the number of FETs required in parallel to maintain the preferred FET operating junction temperature (TJ,DC)</t>
    </r>
    <phoneticPr fontId="5" type="noConversion"/>
  </si>
  <si>
    <t>1N4148W-7-F</t>
  </si>
  <si>
    <t>5.0SMDJxx</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</si>
</sst>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
    <numFmt numFmtId="177" formatCode="0.0"/>
    <numFmt numFmtId="178" formatCode="##0.00E+0"/>
    <numFmt numFmtId="179" formatCode="0.0000"/>
    <numFmt numFmtId="180" formatCode="[$$-409]#,##0.000"/>
  </numFmts>
  <fonts count="59" x14ac:knownFonts="1">
    <font>
      <sz val="10"/>
      <name val="Arial"/>
    </font>
    <font>
      <sz val="11"/>
      <color theme="1"/>
      <name val="맑은 고딕"/>
      <family val="2"/>
      <scheme val="minor"/>
    </font>
    <font>
      <sz val="11"/>
      <color theme="1"/>
      <name val="맑은 고딕"/>
      <family val="2"/>
      <scheme val="minor"/>
    </font>
    <font>
      <sz val="10"/>
      <name val="Arial"/>
      <family val="2"/>
    </font>
    <font>
      <b/>
      <sz val="10"/>
      <name val="Arial"/>
      <family val="2"/>
    </font>
    <font>
      <sz val="8"/>
      <name val="Arial"/>
      <family val="2"/>
    </font>
    <font>
      <b/>
      <sz val="8"/>
      <color indexed="81"/>
      <name val="Tahoma"/>
      <family val="2"/>
    </font>
    <font>
      <vertAlign val="subscript"/>
      <sz val="10"/>
      <name val="Arial"/>
      <family val="2"/>
    </font>
    <font>
      <sz val="10"/>
      <name val="Arial"/>
      <family val="2"/>
    </font>
    <font>
      <b/>
      <sz val="10"/>
      <color indexed="10"/>
      <name val="Arial"/>
      <family val="2"/>
    </font>
    <font>
      <sz val="10"/>
      <color indexed="55"/>
      <name val="Arial"/>
      <family val="2"/>
    </font>
    <font>
      <sz val="10"/>
      <name val="Symbol"/>
      <family val="1"/>
      <charset val="2"/>
    </font>
    <font>
      <b/>
      <sz val="9"/>
      <color indexed="81"/>
      <name val="Tahoma"/>
      <family val="2"/>
    </font>
    <font>
      <sz val="9"/>
      <color indexed="81"/>
      <name val="Tahoma"/>
      <family val="2"/>
    </font>
    <font>
      <b/>
      <sz val="12"/>
      <color rgb="FFFF0000"/>
      <name val="Calibri"/>
      <family val="2"/>
    </font>
    <font>
      <u/>
      <sz val="10"/>
      <color theme="10"/>
      <name val="Arial"/>
      <family val="2"/>
    </font>
    <font>
      <u/>
      <sz val="10"/>
      <color theme="0"/>
      <name val="Arial"/>
      <family val="2"/>
    </font>
    <font>
      <sz val="10"/>
      <name val="Calibri"/>
      <family val="2"/>
    </font>
    <font>
      <sz val="24"/>
      <color theme="0"/>
      <name val="Arial"/>
      <family val="2"/>
    </font>
    <font>
      <sz val="26"/>
      <color theme="0"/>
      <name val="Arial"/>
      <family val="2"/>
    </font>
    <font>
      <sz val="10"/>
      <color theme="0"/>
      <name val="Calibri"/>
      <family val="2"/>
    </font>
    <font>
      <b/>
      <sz val="11"/>
      <color rgb="FF0000FF"/>
      <name val="Arial"/>
      <family val="2"/>
    </font>
    <font>
      <sz val="11"/>
      <color theme="1"/>
      <name val="Arial"/>
      <family val="2"/>
    </font>
    <font>
      <vertAlign val="subscript"/>
      <sz val="11"/>
      <color theme="1"/>
      <name val="Arial"/>
      <family val="2"/>
    </font>
    <font>
      <b/>
      <sz val="11"/>
      <name val="Arial"/>
      <family val="2"/>
    </font>
    <font>
      <b/>
      <sz val="8"/>
      <color indexed="81"/>
      <name val="Arial"/>
      <family val="2"/>
    </font>
    <font>
      <vertAlign val="superscript"/>
      <sz val="10"/>
      <name val="Arial"/>
      <family val="2"/>
    </font>
    <font>
      <b/>
      <u/>
      <sz val="10"/>
      <name val="Arial"/>
      <family val="2"/>
    </font>
    <font>
      <u/>
      <sz val="10"/>
      <name val="Arial"/>
      <family val="2"/>
    </font>
    <font>
      <sz val="11"/>
      <color rgb="FF000000"/>
      <name val="맑은 고딕"/>
      <family val="2"/>
      <scheme val="minor"/>
    </font>
    <font>
      <sz val="10"/>
      <color rgb="FFFF0000"/>
      <name val="Arial"/>
      <family val="2"/>
    </font>
    <font>
      <sz val="22"/>
      <color theme="0"/>
      <name val="Arial"/>
      <family val="2"/>
    </font>
    <font>
      <b/>
      <u/>
      <sz val="10"/>
      <name val="Symbol"/>
      <family val="1"/>
      <charset val="2"/>
    </font>
    <font>
      <b/>
      <sz val="10"/>
      <color rgb="FFFF0000"/>
      <name val="Arial"/>
      <family val="2"/>
    </font>
    <font>
      <b/>
      <sz val="24"/>
      <name val="Arial"/>
      <family val="2"/>
    </font>
    <font>
      <sz val="12"/>
      <name val="MS Sans Serif"/>
      <family val="2"/>
    </font>
    <font>
      <b/>
      <sz val="18"/>
      <name val="Arial"/>
      <family val="2"/>
    </font>
    <font>
      <b/>
      <i/>
      <sz val="16"/>
      <name val="Arial"/>
      <family val="2"/>
    </font>
    <font>
      <b/>
      <i/>
      <sz val="11"/>
      <name val="Arial"/>
      <family val="2"/>
    </font>
    <font>
      <b/>
      <i/>
      <sz val="10"/>
      <name val="Arial"/>
      <family val="2"/>
    </font>
    <font>
      <b/>
      <sz val="9"/>
      <color rgb="FFFF0000"/>
      <name val="Arial"/>
      <family val="2"/>
    </font>
    <font>
      <sz val="11"/>
      <color rgb="FF000000"/>
      <name val="Arial"/>
      <family val="2"/>
    </font>
    <font>
      <sz val="12"/>
      <color rgb="FF0000FF"/>
      <name val="Arial"/>
      <family val="2"/>
    </font>
    <font>
      <sz val="12"/>
      <color rgb="FFFF0000"/>
      <name val="Arial"/>
      <family val="2"/>
    </font>
    <font>
      <sz val="12"/>
      <name val="Arial"/>
      <family val="2"/>
    </font>
    <font>
      <u/>
      <sz val="12"/>
      <color theme="10"/>
      <name val="Arial"/>
      <family val="2"/>
    </font>
    <font>
      <u/>
      <sz val="11"/>
      <color theme="10"/>
      <name val="Arial"/>
      <family val="2"/>
    </font>
    <font>
      <b/>
      <u/>
      <sz val="10"/>
      <color rgb="FFFF0000"/>
      <name val="Arial"/>
      <family val="2"/>
    </font>
    <font>
      <b/>
      <sz val="10"/>
      <color theme="0"/>
      <name val="Arial"/>
      <family val="2"/>
    </font>
    <font>
      <b/>
      <sz val="10"/>
      <color theme="1"/>
      <name val="Arial"/>
      <family val="2"/>
    </font>
    <font>
      <sz val="10"/>
      <color theme="1"/>
      <name val="Arial"/>
      <family val="2"/>
    </font>
    <font>
      <sz val="14"/>
      <name val="Arial"/>
      <family val="2"/>
    </font>
    <font>
      <sz val="8.5"/>
      <name val="Arial"/>
      <family val="2"/>
    </font>
    <font>
      <sz val="20"/>
      <name val="Arial"/>
      <family val="2"/>
    </font>
    <font>
      <b/>
      <i/>
      <u/>
      <sz val="10"/>
      <name val="Arial"/>
      <family val="2"/>
    </font>
    <font>
      <b/>
      <i/>
      <sz val="10"/>
      <color rgb="FF0000FF"/>
      <name val="Arial"/>
      <family val="2"/>
    </font>
    <font>
      <sz val="10"/>
      <color rgb="FF0000FF"/>
      <name val="Arial"/>
      <family val="2"/>
    </font>
    <font>
      <b/>
      <sz val="12"/>
      <color theme="0"/>
      <name val="Arial"/>
      <family val="2"/>
    </font>
    <font>
      <sz val="8"/>
      <name val="돋움"/>
      <family val="3"/>
      <charset val="129"/>
    </font>
  </fonts>
  <fills count="15">
    <fill>
      <patternFill patternType="none"/>
    </fill>
    <fill>
      <patternFill patternType="gray125"/>
    </fill>
    <fill>
      <patternFill patternType="solid">
        <fgColor indexed="65"/>
        <bgColor indexed="64"/>
      </patternFill>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indexed="13"/>
        <bgColor indexed="64"/>
      </patternFill>
    </fill>
    <fill>
      <patternFill patternType="solid">
        <fgColor theme="7"/>
        <bgColor indexed="64"/>
      </patternFill>
    </fill>
    <fill>
      <patternFill patternType="solid">
        <fgColor rgb="FFFFC000"/>
        <bgColor indexed="64"/>
      </patternFill>
    </fill>
    <fill>
      <patternFill patternType="solid">
        <fgColor rgb="FF0000FF"/>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top style="medium">
        <color auto="1"/>
      </top>
      <bottom/>
      <diagonal/>
    </border>
    <border>
      <left/>
      <right/>
      <top style="medium">
        <color auto="1"/>
      </top>
      <bottom/>
      <diagonal/>
    </border>
    <border>
      <left style="medium">
        <color indexed="64"/>
      </left>
      <right/>
      <top/>
      <bottom/>
      <diagonal/>
    </border>
    <border>
      <left/>
      <right/>
      <top/>
      <bottom style="medium">
        <color auto="1"/>
      </bottom>
      <diagonal/>
    </border>
    <border>
      <left style="medium">
        <color indexed="64"/>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bottom style="medium">
        <color auto="1"/>
      </bottom>
      <diagonal/>
    </border>
    <border>
      <left style="thin">
        <color indexed="64"/>
      </left>
      <right style="thin">
        <color indexed="64"/>
      </right>
      <top style="medium">
        <color auto="1"/>
      </top>
      <bottom/>
      <diagonal/>
    </border>
    <border>
      <left/>
      <right style="thin">
        <color auto="1"/>
      </right>
      <top style="medium">
        <color auto="1"/>
      </top>
      <bottom/>
      <diagonal/>
    </border>
    <border>
      <left style="thick">
        <color indexed="39"/>
      </left>
      <right/>
      <top style="thick">
        <color indexed="39"/>
      </top>
      <bottom/>
      <diagonal/>
    </border>
    <border>
      <left/>
      <right/>
      <top style="thick">
        <color indexed="39"/>
      </top>
      <bottom/>
      <diagonal/>
    </border>
    <border>
      <left/>
      <right style="thick">
        <color indexed="39"/>
      </right>
      <top style="thick">
        <color indexed="39"/>
      </top>
      <bottom/>
      <diagonal/>
    </border>
    <border>
      <left style="thick">
        <color indexed="39"/>
      </left>
      <right/>
      <top/>
      <bottom/>
      <diagonal/>
    </border>
    <border>
      <left/>
      <right style="thick">
        <color indexed="39"/>
      </right>
      <top/>
      <bottom/>
      <diagonal/>
    </border>
    <border>
      <left style="thick">
        <color indexed="39"/>
      </left>
      <right/>
      <top/>
      <bottom style="thick">
        <color indexed="39"/>
      </bottom>
      <diagonal/>
    </border>
    <border>
      <left/>
      <right/>
      <top/>
      <bottom style="thick">
        <color indexed="39"/>
      </bottom>
      <diagonal/>
    </border>
    <border>
      <left/>
      <right style="thick">
        <color indexed="39"/>
      </right>
      <top/>
      <bottom style="thick">
        <color indexed="39"/>
      </bottom>
      <diagonal/>
    </border>
    <border>
      <left/>
      <right/>
      <top style="thin">
        <color indexed="64"/>
      </top>
      <bottom style="thin">
        <color indexed="64"/>
      </bottom>
      <diagonal/>
    </border>
    <border>
      <left style="thin">
        <color indexed="64"/>
      </left>
      <right/>
      <top/>
      <bottom style="medium">
        <color indexed="64"/>
      </bottom>
      <diagonal/>
    </border>
    <border>
      <left style="thin">
        <color indexed="64"/>
      </left>
      <right/>
      <top style="medium">
        <color auto="1"/>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12">
    <xf numFmtId="0" fontId="0" fillId="0" borderId="0"/>
    <xf numFmtId="0" fontId="15" fillId="0" borderId="0" applyNumberFormat="0" applyFill="0" applyBorder="0" applyAlignment="0" applyProtection="0">
      <alignment vertical="top"/>
      <protection locked="0"/>
    </xf>
    <xf numFmtId="0" fontId="3" fillId="0" borderId="0"/>
    <xf numFmtId="0" fontId="3" fillId="2" borderId="0">
      <alignment horizontal="center"/>
    </xf>
    <xf numFmtId="0" fontId="3" fillId="5" borderId="1">
      <alignment horizontal="center" vertical="center"/>
      <protection locked="0"/>
    </xf>
    <xf numFmtId="0" fontId="3" fillId="9" borderId="1">
      <alignment horizontal="center" vertical="center"/>
      <protection locked="0"/>
    </xf>
    <xf numFmtId="0" fontId="3" fillId="0" borderId="13"/>
    <xf numFmtId="0" fontId="3" fillId="9" borderId="1">
      <alignment horizontal="center" vertical="center"/>
      <protection locked="0"/>
    </xf>
    <xf numFmtId="0" fontId="3" fillId="9" borderId="1">
      <alignment horizontal="center" vertical="center"/>
      <protection locked="0"/>
    </xf>
    <xf numFmtId="0" fontId="3" fillId="9" borderId="1">
      <alignment horizontal="center" vertical="center"/>
      <protection locked="0"/>
    </xf>
    <xf numFmtId="0" fontId="2" fillId="0" borderId="0"/>
    <xf numFmtId="0" fontId="1" fillId="0" borderId="0"/>
  </cellStyleXfs>
  <cellXfs count="371">
    <xf numFmtId="0" fontId="0" fillId="0" borderId="0" xfId="0"/>
    <xf numFmtId="0" fontId="0" fillId="0" borderId="0" xfId="0" applyAlignment="1">
      <alignment horizontal="center"/>
    </xf>
    <xf numFmtId="0" fontId="0" fillId="0" borderId="0" xfId="0" applyAlignment="1">
      <alignment horizontal="right"/>
    </xf>
    <xf numFmtId="2" fontId="0" fillId="0" borderId="0" xfId="0" applyNumberFormat="1"/>
    <xf numFmtId="0" fontId="0" fillId="0" borderId="1" xfId="0" applyBorder="1" applyAlignment="1">
      <alignment horizontal="center"/>
    </xf>
    <xf numFmtId="176" fontId="0" fillId="0" borderId="0" xfId="0" applyNumberFormat="1" applyAlignment="1">
      <alignment horizontal="center"/>
    </xf>
    <xf numFmtId="10" fontId="0" fillId="0" borderId="0" xfId="0" applyNumberFormat="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applyAlignment="1">
      <alignment horizontal="right"/>
    </xf>
    <xf numFmtId="0" fontId="0" fillId="0" borderId="6" xfId="0" applyBorder="1"/>
    <xf numFmtId="0" fontId="0" fillId="0" borderId="7" xfId="0" applyBorder="1" applyAlignment="1">
      <alignment horizontal="right"/>
    </xf>
    <xf numFmtId="0" fontId="0" fillId="0" borderId="8" xfId="0" applyBorder="1"/>
    <xf numFmtId="0" fontId="0" fillId="0" borderId="9" xfId="0" applyBorder="1"/>
    <xf numFmtId="0" fontId="0" fillId="0" borderId="10" xfId="0" applyBorder="1" applyAlignment="1">
      <alignment horizontal="right"/>
    </xf>
    <xf numFmtId="2" fontId="0" fillId="0" borderId="0" xfId="0" applyNumberFormat="1" applyAlignment="1">
      <alignment horizontal="center"/>
    </xf>
    <xf numFmtId="0" fontId="0" fillId="2" borderId="0" xfId="0" applyFill="1"/>
    <xf numFmtId="0" fontId="0" fillId="2" borderId="0" xfId="0" applyFill="1" applyAlignment="1">
      <alignment horizontal="center"/>
    </xf>
    <xf numFmtId="0" fontId="0" fillId="2" borderId="1" xfId="0" applyFill="1" applyBorder="1" applyAlignment="1">
      <alignment horizontal="center"/>
    </xf>
    <xf numFmtId="0" fontId="0" fillId="2" borderId="0" xfId="0" applyFill="1" applyAlignment="1">
      <alignment horizontal="right"/>
    </xf>
    <xf numFmtId="0" fontId="4" fillId="0" borderId="0" xfId="0" applyFont="1"/>
    <xf numFmtId="2" fontId="0" fillId="0" borderId="1" xfId="0" applyNumberFormat="1"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3" fillId="0" borderId="0" xfId="0" applyFont="1"/>
    <xf numFmtId="0" fontId="3" fillId="0" borderId="0" xfId="0" applyFont="1" applyAlignment="1">
      <alignment horizontal="right"/>
    </xf>
    <xf numFmtId="0" fontId="3" fillId="2" borderId="0" xfId="0" applyFont="1" applyFill="1" applyAlignment="1">
      <alignment horizontal="left"/>
    </xf>
    <xf numFmtId="0" fontId="0" fillId="3" borderId="0" xfId="0" applyFill="1"/>
    <xf numFmtId="0" fontId="3" fillId="2" borderId="0" xfId="0" applyFont="1" applyFill="1" applyAlignment="1">
      <alignment horizontal="right"/>
    </xf>
    <xf numFmtId="0" fontId="16" fillId="2" borderId="0" xfId="1" applyFont="1" applyFill="1" applyAlignment="1" applyProtection="1"/>
    <xf numFmtId="0" fontId="17" fillId="3" borderId="0" xfId="0" applyFont="1" applyFill="1"/>
    <xf numFmtId="0" fontId="20" fillId="3" borderId="0" xfId="0" applyFont="1" applyFill="1"/>
    <xf numFmtId="0" fontId="19" fillId="3" borderId="24" xfId="0" applyFont="1" applyFill="1" applyBorder="1" applyAlignment="1">
      <alignment horizontal="center" vertical="center"/>
    </xf>
    <xf numFmtId="0" fontId="21" fillId="2" borderId="0" xfId="0" applyFont="1" applyFill="1"/>
    <xf numFmtId="0" fontId="24" fillId="2" borderId="0" xfId="0" applyFont="1" applyFill="1"/>
    <xf numFmtId="0" fontId="0" fillId="2" borderId="1" xfId="0" applyFill="1" applyBorder="1" applyAlignment="1">
      <alignment horizontal="center" vertical="center"/>
    </xf>
    <xf numFmtId="0" fontId="0" fillId="2" borderId="11" xfId="0" applyFill="1" applyBorder="1" applyAlignment="1">
      <alignment horizontal="center" vertical="center"/>
    </xf>
    <xf numFmtId="177" fontId="0" fillId="2" borderId="11" xfId="0" applyNumberFormat="1" applyFill="1" applyBorder="1" applyAlignment="1">
      <alignment horizontal="center" vertical="center"/>
    </xf>
    <xf numFmtId="2" fontId="0" fillId="2" borderId="11" xfId="0" applyNumberFormat="1" applyFill="1" applyBorder="1" applyAlignment="1">
      <alignment horizontal="center" vertical="center"/>
    </xf>
    <xf numFmtId="1" fontId="0" fillId="2" borderId="11" xfId="0" applyNumberFormat="1" applyFill="1" applyBorder="1" applyAlignment="1">
      <alignment horizontal="center" vertical="center"/>
    </xf>
    <xf numFmtId="2" fontId="0" fillId="2" borderId="15" xfId="0" applyNumberFormat="1" applyFill="1" applyBorder="1" applyAlignment="1">
      <alignment horizontal="center" vertical="center"/>
    </xf>
    <xf numFmtId="2" fontId="0" fillId="2" borderId="16" xfId="0" applyNumberFormat="1" applyFill="1" applyBorder="1" applyAlignment="1">
      <alignment horizontal="center" vertical="center"/>
    </xf>
    <xf numFmtId="2" fontId="0" fillId="2" borderId="17" xfId="0" applyNumberFormat="1" applyFill="1" applyBorder="1" applyAlignment="1">
      <alignment horizontal="center" vertical="center"/>
    </xf>
    <xf numFmtId="2" fontId="0" fillId="2" borderId="18" xfId="0" applyNumberFormat="1" applyFill="1" applyBorder="1" applyAlignment="1">
      <alignment horizontal="center" vertical="center"/>
    </xf>
    <xf numFmtId="2" fontId="0" fillId="2" borderId="1" xfId="0" applyNumberFormat="1" applyFill="1" applyBorder="1" applyAlignment="1">
      <alignment horizontal="center" vertical="center"/>
    </xf>
    <xf numFmtId="2" fontId="0" fillId="2" borderId="19" xfId="0" applyNumberFormat="1" applyFill="1" applyBorder="1" applyAlignment="1">
      <alignment horizontal="center" vertical="center"/>
    </xf>
    <xf numFmtId="2" fontId="0" fillId="2" borderId="20" xfId="0" applyNumberFormat="1" applyFill="1" applyBorder="1" applyAlignment="1">
      <alignment horizontal="center" vertical="center"/>
    </xf>
    <xf numFmtId="2" fontId="0" fillId="2" borderId="21" xfId="0" applyNumberFormat="1" applyFill="1" applyBorder="1" applyAlignment="1">
      <alignment horizontal="center" vertical="center"/>
    </xf>
    <xf numFmtId="2" fontId="0" fillId="2" borderId="22" xfId="0" applyNumberFormat="1" applyFill="1" applyBorder="1" applyAlignment="1">
      <alignment horizontal="center" vertical="center"/>
    </xf>
    <xf numFmtId="2" fontId="0" fillId="2" borderId="12" xfId="0" applyNumberFormat="1" applyFill="1" applyBorder="1" applyAlignment="1">
      <alignment horizontal="center" vertical="center"/>
    </xf>
    <xf numFmtId="2" fontId="0" fillId="0" borderId="1" xfId="0" applyNumberFormat="1" applyBorder="1" applyAlignment="1">
      <alignment horizontal="center" vertical="center"/>
    </xf>
    <xf numFmtId="1" fontId="0" fillId="2" borderId="1" xfId="0" applyNumberFormat="1" applyFill="1" applyBorder="1" applyAlignment="1">
      <alignment horizontal="center" vertical="center"/>
    </xf>
    <xf numFmtId="2" fontId="0" fillId="3" borderId="1" xfId="0" applyNumberFormat="1" applyFill="1" applyBorder="1" applyAlignment="1">
      <alignment horizontal="center"/>
    </xf>
    <xf numFmtId="177" fontId="0" fillId="2" borderId="1" xfId="0" applyNumberFormat="1" applyFill="1" applyBorder="1" applyAlignment="1">
      <alignment horizontal="center" vertical="center"/>
    </xf>
    <xf numFmtId="0" fontId="0" fillId="2" borderId="0" xfId="0" applyFill="1" applyAlignment="1">
      <alignment horizontal="right" vertical="center"/>
    </xf>
    <xf numFmtId="0" fontId="3" fillId="2" borderId="0" xfId="0" applyFont="1" applyFill="1" applyAlignment="1">
      <alignment horizontal="right" vertical="center"/>
    </xf>
    <xf numFmtId="0" fontId="0" fillId="0" borderId="1" xfId="0" applyBorder="1" applyAlignment="1" applyProtection="1">
      <alignment horizontal="center" vertical="center"/>
      <protection locked="0"/>
    </xf>
    <xf numFmtId="0" fontId="3" fillId="0" borderId="0" xfId="2" applyAlignment="1">
      <alignment horizontal="center"/>
    </xf>
    <xf numFmtId="0" fontId="3" fillId="0" borderId="0" xfId="2"/>
    <xf numFmtId="176" fontId="3" fillId="0" borderId="0" xfId="2" applyNumberFormat="1" applyAlignment="1">
      <alignment horizontal="center"/>
    </xf>
    <xf numFmtId="178" fontId="3" fillId="0" borderId="0" xfId="2" applyNumberFormat="1" applyAlignment="1">
      <alignment horizontal="center"/>
    </xf>
    <xf numFmtId="2" fontId="3" fillId="0" borderId="25" xfId="2" applyNumberFormat="1" applyBorder="1" applyAlignment="1">
      <alignment horizontal="center"/>
    </xf>
    <xf numFmtId="0" fontId="3" fillId="0" borderId="1" xfId="2" applyBorder="1"/>
    <xf numFmtId="0" fontId="0" fillId="0" borderId="0" xfId="0" applyAlignment="1" applyProtection="1">
      <alignment horizontal="center" vertical="center"/>
      <protection locked="0"/>
    </xf>
    <xf numFmtId="2" fontId="3" fillId="0" borderId="0" xfId="2" applyNumberFormat="1" applyAlignment="1">
      <alignment horizontal="center"/>
    </xf>
    <xf numFmtId="0" fontId="3" fillId="0" borderId="0" xfId="0" applyFont="1" applyAlignment="1">
      <alignment horizontal="center"/>
    </xf>
    <xf numFmtId="0" fontId="0" fillId="0" borderId="1" xfId="0" applyBorder="1"/>
    <xf numFmtId="0" fontId="3" fillId="0" borderId="1" xfId="0" applyFont="1" applyBorder="1"/>
    <xf numFmtId="2" fontId="0" fillId="0" borderId="1" xfId="0" applyNumberFormat="1" applyBorder="1"/>
    <xf numFmtId="0" fontId="28" fillId="0" borderId="0" xfId="0" applyFont="1"/>
    <xf numFmtId="0" fontId="29" fillId="0" borderId="0" xfId="0" applyFont="1" applyAlignment="1">
      <alignment horizontal="center"/>
    </xf>
    <xf numFmtId="2" fontId="3" fillId="0" borderId="0" xfId="0" applyNumberFormat="1" applyFont="1" applyAlignment="1">
      <alignment horizontal="left"/>
    </xf>
    <xf numFmtId="0" fontId="0" fillId="2" borderId="24" xfId="0" applyFill="1" applyBorder="1"/>
    <xf numFmtId="0" fontId="3" fillId="2" borderId="24" xfId="0" applyFont="1" applyFill="1" applyBorder="1" applyAlignment="1">
      <alignment horizontal="right" vertical="center"/>
    </xf>
    <xf numFmtId="0" fontId="21" fillId="2" borderId="25" xfId="0" applyFont="1" applyFill="1" applyBorder="1"/>
    <xf numFmtId="0" fontId="0" fillId="2" borderId="25" xfId="0" applyFill="1" applyBorder="1"/>
    <xf numFmtId="0" fontId="0" fillId="2" borderId="27" xfId="0" applyFill="1" applyBorder="1"/>
    <xf numFmtId="0" fontId="0" fillId="2" borderId="26" xfId="0" applyFill="1" applyBorder="1"/>
    <xf numFmtId="0" fontId="4" fillId="2" borderId="25" xfId="0" applyFont="1" applyFill="1" applyBorder="1"/>
    <xf numFmtId="0" fontId="3" fillId="2" borderId="24" xfId="0" applyFont="1" applyFill="1" applyBorder="1" applyAlignment="1">
      <alignment horizontal="right"/>
    </xf>
    <xf numFmtId="0" fontId="0" fillId="0" borderId="25" xfId="0" applyBorder="1"/>
    <xf numFmtId="0" fontId="0" fillId="0" borderId="0" xfId="0" applyAlignment="1">
      <alignment horizontal="left"/>
    </xf>
    <xf numFmtId="2"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2" borderId="16" xfId="0" applyFill="1" applyBorder="1" applyAlignment="1">
      <alignment horizontal="center" vertical="center"/>
    </xf>
    <xf numFmtId="0" fontId="0" fillId="2" borderId="24" xfId="0" applyFill="1" applyBorder="1" applyAlignment="1">
      <alignment horizontal="right" vertical="center"/>
    </xf>
    <xf numFmtId="0" fontId="0" fillId="2" borderId="29" xfId="0" applyFill="1" applyBorder="1"/>
    <xf numFmtId="0" fontId="4" fillId="2" borderId="0" xfId="0" applyFont="1" applyFill="1" applyAlignment="1">
      <alignment horizontal="right"/>
    </xf>
    <xf numFmtId="0" fontId="4" fillId="2" borderId="0" xfId="0" applyFont="1" applyFill="1" applyAlignment="1">
      <alignment horizontal="center"/>
    </xf>
    <xf numFmtId="0" fontId="9" fillId="2" borderId="0" xfId="0" applyFont="1" applyFill="1"/>
    <xf numFmtId="0" fontId="0" fillId="2" borderId="30" xfId="0" applyFill="1" applyBorder="1"/>
    <xf numFmtId="0" fontId="3" fillId="2" borderId="29" xfId="0" applyFont="1" applyFill="1" applyBorder="1"/>
    <xf numFmtId="0" fontId="22" fillId="2" borderId="0" xfId="0" applyFont="1" applyFill="1" applyAlignment="1">
      <alignment horizontal="right" vertical="center"/>
    </xf>
    <xf numFmtId="0" fontId="0" fillId="2" borderId="14" xfId="0" applyFill="1" applyBorder="1" applyAlignment="1">
      <alignment horizontal="center" vertical="center"/>
    </xf>
    <xf numFmtId="0" fontId="0" fillId="2" borderId="7" xfId="0" applyFill="1" applyBorder="1" applyAlignment="1">
      <alignment horizontal="right" vertical="center"/>
    </xf>
    <xf numFmtId="0" fontId="3" fillId="2" borderId="13" xfId="0" applyFont="1" applyFill="1" applyBorder="1" applyAlignment="1">
      <alignment horizontal="right" vertical="center"/>
    </xf>
    <xf numFmtId="0" fontId="3" fillId="2" borderId="7" xfId="0" applyFont="1" applyFill="1" applyBorder="1" applyAlignment="1">
      <alignment horizontal="right" vertical="center"/>
    </xf>
    <xf numFmtId="0" fontId="0" fillId="3" borderId="0" xfId="0" applyFill="1" applyAlignment="1">
      <alignment horizontal="center"/>
    </xf>
    <xf numFmtId="0" fontId="3" fillId="2" borderId="7" xfId="0" applyFont="1" applyFill="1" applyBorder="1" applyAlignment="1">
      <alignment horizontal="right"/>
    </xf>
    <xf numFmtId="0" fontId="0" fillId="5" borderId="0" xfId="0" applyFill="1"/>
    <xf numFmtId="0" fontId="3" fillId="5" borderId="0" xfId="0" applyFont="1" applyFill="1" applyAlignment="1">
      <alignment horizontal="right" vertical="center"/>
    </xf>
    <xf numFmtId="0" fontId="0" fillId="6" borderId="0" xfId="0" applyFill="1"/>
    <xf numFmtId="0" fontId="3" fillId="6" borderId="0" xfId="0" applyFont="1" applyFill="1" applyAlignment="1">
      <alignment horizontal="right" vertical="center"/>
    </xf>
    <xf numFmtId="1" fontId="3" fillId="2" borderId="1" xfId="0" applyNumberFormat="1" applyFont="1" applyFill="1" applyBorder="1" applyAlignment="1">
      <alignment horizontal="center" vertical="center"/>
    </xf>
    <xf numFmtId="0" fontId="17" fillId="0" borderId="0" xfId="0" applyFont="1"/>
    <xf numFmtId="0" fontId="0" fillId="2" borderId="28" xfId="0" applyFill="1" applyBorder="1"/>
    <xf numFmtId="0" fontId="3" fillId="2" borderId="0" xfId="0" applyFont="1" applyFill="1"/>
    <xf numFmtId="0" fontId="22" fillId="2" borderId="24" xfId="0" applyFont="1" applyFill="1" applyBorder="1" applyAlignment="1">
      <alignment horizontal="right" vertical="center"/>
    </xf>
    <xf numFmtId="14" fontId="3" fillId="2" borderId="0" xfId="0" applyNumberFormat="1" applyFont="1" applyFill="1" applyAlignment="1">
      <alignment horizontal="center"/>
    </xf>
    <xf numFmtId="0" fontId="3" fillId="2" borderId="26" xfId="0" applyFont="1" applyFill="1" applyBorder="1" applyAlignment="1">
      <alignment horizontal="left"/>
    </xf>
    <xf numFmtId="0" fontId="4" fillId="2" borderId="0" xfId="0" applyFont="1" applyFill="1"/>
    <xf numFmtId="0" fontId="4" fillId="2" borderId="29" xfId="0" applyFont="1" applyFill="1" applyBorder="1" applyAlignment="1">
      <alignment horizontal="left"/>
    </xf>
    <xf numFmtId="0" fontId="0" fillId="2" borderId="21" xfId="0" applyFill="1" applyBorder="1" applyAlignment="1">
      <alignment horizontal="center"/>
    </xf>
    <xf numFmtId="1" fontId="0" fillId="2" borderId="1" xfId="0" applyNumberFormat="1" applyFill="1" applyBorder="1" applyAlignment="1">
      <alignment horizontal="center"/>
    </xf>
    <xf numFmtId="176" fontId="0" fillId="2" borderId="1" xfId="0" applyNumberFormat="1" applyFill="1" applyBorder="1" applyAlignment="1">
      <alignment horizontal="center"/>
    </xf>
    <xf numFmtId="0" fontId="30" fillId="0" borderId="0" xfId="0" applyFont="1"/>
    <xf numFmtId="2" fontId="0" fillId="3" borderId="11" xfId="0" applyNumberFormat="1" applyFill="1" applyBorder="1" applyAlignment="1">
      <alignment horizontal="center"/>
    </xf>
    <xf numFmtId="177" fontId="0" fillId="2" borderId="1" xfId="0" applyNumberFormat="1" applyFill="1" applyBorder="1" applyAlignment="1">
      <alignment horizontal="center"/>
    </xf>
    <xf numFmtId="0" fontId="0" fillId="7" borderId="24" xfId="0" applyFill="1" applyBorder="1"/>
    <xf numFmtId="2" fontId="0" fillId="2" borderId="1" xfId="0" applyNumberFormat="1" applyFill="1" applyBorder="1" applyAlignment="1">
      <alignment horizontal="center"/>
    </xf>
    <xf numFmtId="0" fontId="0" fillId="3" borderId="1" xfId="0" applyFill="1" applyBorder="1" applyAlignment="1">
      <alignment horizontal="center"/>
    </xf>
    <xf numFmtId="1" fontId="3" fillId="2" borderId="0" xfId="0" applyNumberFormat="1" applyFont="1" applyFill="1" applyAlignment="1">
      <alignment horizontal="center" vertical="center"/>
    </xf>
    <xf numFmtId="2" fontId="0" fillId="3" borderId="1" xfId="0" applyNumberFormat="1" applyFill="1" applyBorder="1" applyAlignment="1">
      <alignment horizontal="center" vertical="center"/>
    </xf>
    <xf numFmtId="0" fontId="0" fillId="8" borderId="0" xfId="0" applyFill="1"/>
    <xf numFmtId="0" fontId="3" fillId="8" borderId="0" xfId="0" applyFont="1" applyFill="1" applyAlignment="1">
      <alignment horizontal="right" vertical="center"/>
    </xf>
    <xf numFmtId="0" fontId="24" fillId="7" borderId="23" xfId="0" applyFont="1" applyFill="1" applyBorder="1"/>
    <xf numFmtId="0" fontId="0" fillId="3" borderId="29" xfId="0" applyFill="1" applyBorder="1"/>
    <xf numFmtId="0" fontId="3" fillId="0" borderId="1" xfId="0" applyFont="1" applyBorder="1" applyAlignment="1">
      <alignment horizontal="center"/>
    </xf>
    <xf numFmtId="0" fontId="3" fillId="0" borderId="0" xfId="0" applyFont="1" applyAlignment="1">
      <alignment horizontal="left"/>
    </xf>
    <xf numFmtId="11" fontId="0" fillId="0" borderId="0" xfId="0" applyNumberFormat="1" applyAlignment="1">
      <alignment horizontal="center"/>
    </xf>
    <xf numFmtId="179" fontId="0" fillId="0" borderId="0" xfId="0" applyNumberFormat="1"/>
    <xf numFmtId="1" fontId="0" fillId="0" borderId="0" xfId="0" applyNumberFormat="1"/>
    <xf numFmtId="2" fontId="3" fillId="0" borderId="0" xfId="2" applyNumberFormat="1"/>
    <xf numFmtId="0" fontId="27" fillId="0" borderId="0" xfId="2" applyFont="1"/>
    <xf numFmtId="0" fontId="27" fillId="0" borderId="0" xfId="2" applyFont="1" applyAlignment="1">
      <alignment horizontal="center"/>
    </xf>
    <xf numFmtId="10" fontId="3" fillId="0" borderId="0" xfId="2" applyNumberFormat="1"/>
    <xf numFmtId="9" fontId="0" fillId="2" borderId="1" xfId="0" applyNumberFormat="1" applyFill="1" applyBorder="1" applyAlignment="1">
      <alignment horizontal="center" vertical="center"/>
    </xf>
    <xf numFmtId="0" fontId="3" fillId="0" borderId="6" xfId="0" applyFont="1" applyBorder="1" applyAlignment="1">
      <alignment horizontal="center"/>
    </xf>
    <xf numFmtId="0" fontId="28" fillId="0" borderId="0" xfId="2" applyFont="1"/>
    <xf numFmtId="177" fontId="0" fillId="0" borderId="1" xfId="0" applyNumberFormat="1" applyBorder="1" applyAlignment="1">
      <alignment horizontal="center" vertical="center"/>
    </xf>
    <xf numFmtId="0" fontId="3" fillId="3" borderId="0" xfId="0" applyFont="1" applyFill="1" applyAlignment="1">
      <alignment horizontal="right" vertical="center"/>
    </xf>
    <xf numFmtId="0" fontId="3" fillId="3" borderId="0" xfId="0" applyFont="1" applyFill="1" applyAlignment="1">
      <alignment horizontal="right"/>
    </xf>
    <xf numFmtId="0" fontId="3" fillId="0" borderId="13" xfId="0" applyFont="1" applyBorder="1" applyAlignment="1">
      <alignment horizontal="center"/>
    </xf>
    <xf numFmtId="0" fontId="3" fillId="2" borderId="32" xfId="0" applyFont="1" applyFill="1" applyBorder="1" applyAlignment="1">
      <alignment horizontal="center" vertical="center"/>
    </xf>
    <xf numFmtId="0" fontId="3" fillId="2" borderId="13" xfId="0" applyFont="1" applyFill="1" applyBorder="1" applyAlignment="1">
      <alignment horizontal="center" vertical="center"/>
    </xf>
    <xf numFmtId="0" fontId="0" fillId="2" borderId="13" xfId="0" applyFill="1" applyBorder="1" applyAlignment="1">
      <alignment horizontal="center" vertical="center"/>
    </xf>
    <xf numFmtId="0" fontId="3" fillId="2" borderId="31" xfId="0" applyFont="1" applyFill="1" applyBorder="1" applyAlignment="1">
      <alignment horizontal="center" vertical="center"/>
    </xf>
    <xf numFmtId="0" fontId="0" fillId="0" borderId="32" xfId="0" applyBorder="1" applyAlignment="1">
      <alignment horizontal="center" vertical="center"/>
    </xf>
    <xf numFmtId="0" fontId="11" fillId="2" borderId="13" xfId="0" applyFont="1" applyFill="1" applyBorder="1" applyAlignment="1">
      <alignment horizontal="center" vertical="center"/>
    </xf>
    <xf numFmtId="0" fontId="0" fillId="2" borderId="32" xfId="0" applyFill="1" applyBorder="1" applyAlignment="1">
      <alignment horizontal="center" vertical="center"/>
    </xf>
    <xf numFmtId="0" fontId="8" fillId="2" borderId="13" xfId="0" applyFont="1" applyFill="1" applyBorder="1" applyAlignment="1">
      <alignment horizontal="center" vertical="center"/>
    </xf>
    <xf numFmtId="0" fontId="0" fillId="2" borderId="33" xfId="0" applyFill="1" applyBorder="1" applyAlignment="1">
      <alignment horizontal="center" vertical="center"/>
    </xf>
    <xf numFmtId="0" fontId="3" fillId="2" borderId="7" xfId="0" applyFont="1" applyFill="1" applyBorder="1" applyAlignment="1">
      <alignment horizontal="center" vertical="center"/>
    </xf>
    <xf numFmtId="0" fontId="8" fillId="2" borderId="7" xfId="0" applyFont="1" applyFill="1" applyBorder="1" applyAlignment="1">
      <alignment horizontal="center" vertical="center"/>
    </xf>
    <xf numFmtId="0" fontId="0" fillId="2" borderId="7" xfId="0" applyFill="1" applyBorder="1" applyAlignment="1">
      <alignment horizontal="center"/>
    </xf>
    <xf numFmtId="0" fontId="8" fillId="2" borderId="7" xfId="0" applyFont="1" applyFill="1" applyBorder="1" applyAlignment="1">
      <alignment horizontal="center"/>
    </xf>
    <xf numFmtId="0" fontId="3" fillId="2" borderId="7" xfId="0" applyFont="1" applyFill="1" applyBorder="1" applyAlignment="1">
      <alignment horizontal="center"/>
    </xf>
    <xf numFmtId="0" fontId="8" fillId="2" borderId="24" xfId="0" applyFont="1" applyFill="1" applyBorder="1" applyAlignment="1">
      <alignment horizontal="center" vertical="center"/>
    </xf>
    <xf numFmtId="0" fontId="11" fillId="2" borderId="0" xfId="0" applyFont="1" applyFill="1" applyAlignment="1">
      <alignment horizontal="center" vertical="center"/>
    </xf>
    <xf numFmtId="0" fontId="8" fillId="2" borderId="0" xfId="0" applyFont="1" applyFill="1" applyAlignment="1">
      <alignment horizontal="center" vertical="center"/>
    </xf>
    <xf numFmtId="0" fontId="3" fillId="2" borderId="0" xfId="0" applyFont="1" applyFill="1" applyAlignment="1">
      <alignment horizontal="center" vertical="center"/>
    </xf>
    <xf numFmtId="0" fontId="0" fillId="2" borderId="26" xfId="0" applyFill="1" applyBorder="1" applyAlignment="1">
      <alignment horizontal="center"/>
    </xf>
    <xf numFmtId="0" fontId="28" fillId="0" borderId="0" xfId="0" applyFont="1" applyAlignment="1">
      <alignment horizontal="left"/>
    </xf>
    <xf numFmtId="0" fontId="0" fillId="9" borderId="16"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3" fillId="6" borderId="16"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protection locked="0"/>
    </xf>
    <xf numFmtId="0" fontId="0" fillId="6" borderId="16" xfId="0" applyFill="1" applyBorder="1" applyAlignment="1" applyProtection="1">
      <alignment horizontal="center" vertical="center"/>
      <protection locked="0"/>
    </xf>
    <xf numFmtId="0" fontId="0" fillId="6" borderId="1" xfId="0" applyFill="1" applyBorder="1" applyAlignment="1" applyProtection="1">
      <alignment horizontal="center"/>
      <protection locked="0"/>
    </xf>
    <xf numFmtId="0" fontId="0" fillId="6" borderId="1" xfId="0" applyFill="1" applyBorder="1" applyAlignment="1">
      <alignment horizontal="center"/>
    </xf>
    <xf numFmtId="0" fontId="28" fillId="0" borderId="0" xfId="0" applyFont="1" applyAlignment="1">
      <alignment horizontal="center"/>
    </xf>
    <xf numFmtId="177" fontId="3" fillId="0" borderId="0" xfId="2" applyNumberFormat="1" applyAlignment="1">
      <alignment horizontal="center"/>
    </xf>
    <xf numFmtId="177" fontId="3" fillId="0" borderId="0" xfId="2" applyNumberFormat="1"/>
    <xf numFmtId="0" fontId="28" fillId="10" borderId="0" xfId="0" applyFont="1" applyFill="1"/>
    <xf numFmtId="2" fontId="28" fillId="0" borderId="0" xfId="0" applyNumberFormat="1" applyFont="1" applyAlignment="1">
      <alignment horizontal="center"/>
    </xf>
    <xf numFmtId="0" fontId="30" fillId="4" borderId="1" xfId="0" applyFont="1" applyFill="1" applyBorder="1" applyAlignment="1">
      <alignment horizontal="center"/>
    </xf>
    <xf numFmtId="0" fontId="0" fillId="5" borderId="1" xfId="0" applyFill="1" applyBorder="1" applyAlignment="1">
      <alignment horizontal="center"/>
    </xf>
    <xf numFmtId="0" fontId="4" fillId="0" borderId="0" xfId="0" applyFont="1" applyAlignment="1">
      <alignment horizontal="center"/>
    </xf>
    <xf numFmtId="0" fontId="27" fillId="0" borderId="0" xfId="0" applyFont="1" applyAlignment="1">
      <alignment horizontal="center"/>
    </xf>
    <xf numFmtId="2" fontId="3" fillId="0" borderId="0" xfId="0" applyNumberFormat="1" applyFont="1"/>
    <xf numFmtId="0" fontId="0" fillId="2" borderId="25" xfId="0" applyFill="1" applyBorder="1" applyAlignment="1">
      <alignment wrapText="1"/>
    </xf>
    <xf numFmtId="0" fontId="0" fillId="11" borderId="34" xfId="0" applyFill="1" applyBorder="1"/>
    <xf numFmtId="0" fontId="0" fillId="11" borderId="35" xfId="0" applyFill="1" applyBorder="1"/>
    <xf numFmtId="0" fontId="0" fillId="11" borderId="36" xfId="0" applyFill="1" applyBorder="1"/>
    <xf numFmtId="0" fontId="0" fillId="11" borderId="37" xfId="0" applyFill="1" applyBorder="1"/>
    <xf numFmtId="0" fontId="0" fillId="11" borderId="0" xfId="0" applyFill="1"/>
    <xf numFmtId="0" fontId="0" fillId="11" borderId="38" xfId="0" applyFill="1" applyBorder="1"/>
    <xf numFmtId="0" fontId="34" fillId="11" borderId="0" xfId="0" applyFont="1" applyFill="1"/>
    <xf numFmtId="0" fontId="35" fillId="11" borderId="0" xfId="0" applyFont="1" applyFill="1"/>
    <xf numFmtId="0" fontId="36" fillId="11" borderId="0" xfId="0" applyFont="1" applyFill="1"/>
    <xf numFmtId="0" fontId="37" fillId="11" borderId="0" xfId="0" applyFont="1" applyFill="1"/>
    <xf numFmtId="0" fontId="38" fillId="11" borderId="0" xfId="0" applyFont="1" applyFill="1"/>
    <xf numFmtId="0" fontId="38" fillId="11" borderId="0" xfId="0" applyFont="1" applyFill="1" applyAlignment="1">
      <alignment wrapText="1"/>
    </xf>
    <xf numFmtId="0" fontId="3" fillId="11" borderId="0" xfId="0" applyFont="1" applyFill="1"/>
    <xf numFmtId="0" fontId="0" fillId="2" borderId="25" xfId="0" applyFill="1" applyBorder="1" applyAlignment="1">
      <alignment horizontal="right"/>
    </xf>
    <xf numFmtId="0" fontId="3" fillId="2" borderId="19" xfId="0" applyFont="1" applyFill="1" applyBorder="1"/>
    <xf numFmtId="0" fontId="3" fillId="2" borderId="22" xfId="0" applyFont="1" applyFill="1" applyBorder="1"/>
    <xf numFmtId="0" fontId="15" fillId="11" borderId="0" xfId="1" applyFill="1" applyAlignment="1" applyProtection="1"/>
    <xf numFmtId="0" fontId="3" fillId="11" borderId="39" xfId="2" applyFill="1" applyBorder="1"/>
    <xf numFmtId="0" fontId="3" fillId="11" borderId="40" xfId="2" applyFill="1" applyBorder="1"/>
    <xf numFmtId="0" fontId="3" fillId="11" borderId="41" xfId="2" applyFill="1" applyBorder="1"/>
    <xf numFmtId="0" fontId="3" fillId="6" borderId="11" xfId="0" applyFont="1" applyFill="1" applyBorder="1" applyAlignment="1" applyProtection="1">
      <alignment horizontal="center" vertical="center"/>
      <protection locked="0"/>
    </xf>
    <xf numFmtId="0" fontId="3" fillId="2" borderId="0" xfId="2" applyFill="1"/>
    <xf numFmtId="0" fontId="3" fillId="2" borderId="26" xfId="2" applyFill="1" applyBorder="1"/>
    <xf numFmtId="0" fontId="44" fillId="2" borderId="0" xfId="2" applyFont="1" applyFill="1"/>
    <xf numFmtId="0" fontId="44" fillId="2" borderId="0" xfId="2" applyFont="1" applyFill="1" applyAlignment="1">
      <alignment horizontal="right" vertical="center"/>
    </xf>
    <xf numFmtId="0" fontId="3" fillId="2" borderId="26" xfId="2" applyFill="1" applyBorder="1" applyAlignment="1">
      <alignment horizontal="center" vertical="center"/>
    </xf>
    <xf numFmtId="0" fontId="3" fillId="2" borderId="0" xfId="2" applyFill="1" applyAlignment="1">
      <alignment horizontal="center" vertical="center"/>
    </xf>
    <xf numFmtId="0" fontId="44" fillId="3" borderId="0" xfId="2" applyFont="1" applyFill="1"/>
    <xf numFmtId="0" fontId="3" fillId="2" borderId="26" xfId="2" applyFill="1" applyBorder="1" applyAlignment="1">
      <alignment vertical="top" wrapText="1"/>
    </xf>
    <xf numFmtId="0" fontId="46" fillId="2" borderId="0" xfId="1" applyFont="1" applyFill="1" applyBorder="1" applyAlignment="1" applyProtection="1"/>
    <xf numFmtId="0" fontId="0" fillId="9" borderId="11" xfId="0" applyFill="1" applyBorder="1" applyAlignment="1" applyProtection="1">
      <alignment horizontal="center" vertical="center"/>
      <protection locked="0"/>
    </xf>
    <xf numFmtId="0" fontId="40" fillId="2" borderId="25" xfId="0" applyFont="1" applyFill="1" applyBorder="1" applyAlignment="1">
      <alignment vertical="top" wrapText="1"/>
    </xf>
    <xf numFmtId="0" fontId="15" fillId="3" borderId="25" xfId="1" applyFill="1" applyBorder="1" applyAlignment="1" applyProtection="1">
      <alignment horizontal="left"/>
    </xf>
    <xf numFmtId="0" fontId="15" fillId="3" borderId="25" xfId="1" applyFill="1" applyBorder="1" applyAlignment="1" applyProtection="1"/>
    <xf numFmtId="0" fontId="15" fillId="2" borderId="25" xfId="1" applyFill="1" applyBorder="1" applyAlignment="1" applyProtection="1"/>
    <xf numFmtId="0" fontId="48" fillId="12" borderId="28" xfId="0" applyFont="1" applyFill="1" applyBorder="1" applyAlignment="1">
      <alignment horizontal="left"/>
    </xf>
    <xf numFmtId="0" fontId="15" fillId="3" borderId="25" xfId="1" applyFill="1" applyBorder="1" applyAlignment="1" applyProtection="1">
      <alignment wrapText="1"/>
    </xf>
    <xf numFmtId="0" fontId="43" fillId="2" borderId="0" xfId="1" applyFont="1" applyFill="1" applyBorder="1" applyAlignment="1" applyProtection="1"/>
    <xf numFmtId="0" fontId="45" fillId="2" borderId="0" xfId="1" applyFont="1" applyFill="1" applyBorder="1" applyAlignment="1" applyProtection="1">
      <alignment wrapText="1"/>
    </xf>
    <xf numFmtId="0" fontId="15" fillId="3" borderId="25" xfId="1" applyFill="1" applyBorder="1" applyAlignment="1" applyProtection="1">
      <alignment vertical="top"/>
    </xf>
    <xf numFmtId="0" fontId="40" fillId="2" borderId="25" xfId="0" applyFont="1" applyFill="1" applyBorder="1" applyAlignment="1">
      <alignment vertical="top"/>
    </xf>
    <xf numFmtId="0" fontId="0" fillId="6" borderId="11" xfId="0" applyFill="1" applyBorder="1" applyAlignment="1" applyProtection="1">
      <alignment horizontal="center" vertical="center"/>
      <protection locked="0"/>
    </xf>
    <xf numFmtId="176" fontId="0" fillId="6" borderId="21" xfId="0" applyNumberFormat="1" applyFill="1" applyBorder="1" applyAlignment="1" applyProtection="1">
      <alignment horizontal="center" vertical="center"/>
      <protection locked="0"/>
    </xf>
    <xf numFmtId="0" fontId="0" fillId="0" borderId="42" xfId="0" applyBorder="1"/>
    <xf numFmtId="0" fontId="3" fillId="13" borderId="16" xfId="0" applyFont="1" applyFill="1" applyBorder="1" applyAlignment="1" applyProtection="1">
      <alignment horizontal="center" vertical="center"/>
      <protection locked="0"/>
    </xf>
    <xf numFmtId="2" fontId="0" fillId="3" borderId="11" xfId="0" applyNumberFormat="1" applyFill="1" applyBorder="1" applyAlignment="1">
      <alignment horizontal="center" vertical="center"/>
    </xf>
    <xf numFmtId="0" fontId="0" fillId="6" borderId="12" xfId="0" applyFill="1" applyBorder="1" applyAlignment="1" applyProtection="1">
      <alignment horizontal="center" vertical="center"/>
      <protection locked="0"/>
    </xf>
    <xf numFmtId="0" fontId="0" fillId="3" borderId="0" xfId="0" applyFill="1" applyAlignment="1">
      <alignment horizontal="right" vertical="center"/>
    </xf>
    <xf numFmtId="0" fontId="3" fillId="0" borderId="0" xfId="0" applyFont="1" applyAlignment="1">
      <alignment horizontal="right" vertical="center"/>
    </xf>
    <xf numFmtId="0" fontId="3" fillId="3" borderId="26" xfId="0" applyFont="1" applyFill="1" applyBorder="1" applyAlignment="1">
      <alignment horizontal="right" vertical="center"/>
    </xf>
    <xf numFmtId="0" fontId="0" fillId="3" borderId="13" xfId="0" applyFill="1" applyBorder="1" applyAlignment="1">
      <alignment horizontal="center"/>
    </xf>
    <xf numFmtId="0" fontId="0" fillId="3" borderId="31" xfId="0" applyFill="1" applyBorder="1" applyAlignment="1">
      <alignment horizontal="center"/>
    </xf>
    <xf numFmtId="0" fontId="3" fillId="3" borderId="13" xfId="0" applyFont="1" applyFill="1" applyBorder="1" applyAlignment="1">
      <alignment horizontal="center" vertical="center"/>
    </xf>
    <xf numFmtId="0" fontId="0" fillId="3" borderId="7" xfId="0" applyFill="1" applyBorder="1"/>
    <xf numFmtId="0" fontId="0" fillId="3" borderId="4" xfId="0" applyFill="1" applyBorder="1"/>
    <xf numFmtId="2" fontId="0" fillId="6" borderId="12" xfId="0" applyNumberFormat="1" applyFill="1" applyBorder="1" applyAlignment="1" applyProtection="1">
      <alignment horizontal="center" vertical="center"/>
      <protection locked="0"/>
    </xf>
    <xf numFmtId="0" fontId="3" fillId="13" borderId="16" xfId="0" applyFont="1" applyFill="1" applyBorder="1" applyAlignment="1">
      <alignment horizontal="center"/>
    </xf>
    <xf numFmtId="0" fontId="15" fillId="0" borderId="0" xfId="1" applyAlignment="1" applyProtection="1">
      <alignment horizontal="right"/>
    </xf>
    <xf numFmtId="0" fontId="51" fillId="0" borderId="0" xfId="0" applyFont="1"/>
    <xf numFmtId="0" fontId="50" fillId="0" borderId="0" xfId="1" applyFont="1" applyAlignment="1" applyProtection="1"/>
    <xf numFmtId="0" fontId="50" fillId="0" borderId="0" xfId="1" applyFont="1" applyAlignment="1" applyProtection="1">
      <alignment horizontal="right"/>
    </xf>
    <xf numFmtId="180" fontId="0" fillId="0" borderId="0" xfId="0" applyNumberFormat="1"/>
    <xf numFmtId="0" fontId="40" fillId="2" borderId="25" xfId="0" applyFont="1" applyFill="1" applyBorder="1" applyAlignment="1">
      <alignment horizontal="left" vertical="top" wrapText="1"/>
    </xf>
    <xf numFmtId="0" fontId="9" fillId="2" borderId="0" xfId="0" applyFont="1" applyFill="1" applyAlignment="1">
      <alignment horizontal="left" wrapText="1"/>
    </xf>
    <xf numFmtId="0" fontId="33" fillId="2" borderId="0" xfId="2" applyFont="1" applyFill="1" applyAlignment="1">
      <alignment horizontal="left" vertical="top" wrapText="1"/>
    </xf>
    <xf numFmtId="0" fontId="3" fillId="2" borderId="1" xfId="0" applyFont="1" applyFill="1" applyBorder="1" applyAlignment="1">
      <alignment horizontal="center"/>
    </xf>
    <xf numFmtId="2" fontId="3" fillId="2" borderId="1" xfId="0" applyNumberFormat="1" applyFont="1" applyFill="1" applyBorder="1" applyAlignment="1">
      <alignment horizontal="center"/>
    </xf>
    <xf numFmtId="176" fontId="3" fillId="2" borderId="1" xfId="0" applyNumberFormat="1" applyFont="1" applyFill="1" applyBorder="1" applyAlignment="1">
      <alignment horizontal="center"/>
    </xf>
    <xf numFmtId="176" fontId="0" fillId="6" borderId="1" xfId="0" applyNumberFormat="1" applyFill="1" applyBorder="1" applyAlignment="1">
      <alignment horizontal="center"/>
    </xf>
    <xf numFmtId="0" fontId="15" fillId="0" borderId="1" xfId="1" applyBorder="1" applyAlignment="1" applyProtection="1">
      <alignment horizontal="center"/>
    </xf>
    <xf numFmtId="180" fontId="0" fillId="0" borderId="1" xfId="0" applyNumberFormat="1" applyBorder="1" applyAlignment="1">
      <alignment horizontal="center"/>
    </xf>
    <xf numFmtId="180" fontId="0" fillId="0" borderId="21" xfId="0" applyNumberFormat="1" applyBorder="1" applyAlignment="1">
      <alignment horizontal="center"/>
    </xf>
    <xf numFmtId="2" fontId="0" fillId="0" borderId="12" xfId="0" applyNumberFormat="1" applyBorder="1" applyAlignment="1">
      <alignment horizontal="center" vertical="center"/>
    </xf>
    <xf numFmtId="0" fontId="0" fillId="0" borderId="12" xfId="0" applyBorder="1" applyAlignment="1">
      <alignment horizontal="center" vertical="center"/>
    </xf>
    <xf numFmtId="0" fontId="0" fillId="6" borderId="21" xfId="0" applyFill="1" applyBorder="1"/>
    <xf numFmtId="0" fontId="0" fillId="3" borderId="24" xfId="0" applyFill="1" applyBorder="1" applyAlignment="1">
      <alignment horizontal="center"/>
    </xf>
    <xf numFmtId="0" fontId="0" fillId="2" borderId="43" xfId="0" applyFill="1" applyBorder="1"/>
    <xf numFmtId="180" fontId="0" fillId="3" borderId="0" xfId="0" applyNumberFormat="1" applyFill="1" applyAlignment="1">
      <alignment horizontal="center"/>
    </xf>
    <xf numFmtId="0" fontId="11" fillId="2" borderId="6" xfId="0" applyFont="1" applyFill="1" applyBorder="1" applyAlignment="1">
      <alignment horizontal="center" vertical="center"/>
    </xf>
    <xf numFmtId="0" fontId="3" fillId="2" borderId="6" xfId="0" applyFont="1" applyFill="1" applyBorder="1" applyAlignment="1">
      <alignment horizontal="center" vertical="center"/>
    </xf>
    <xf numFmtId="0" fontId="0" fillId="3" borderId="24" xfId="0" applyFill="1" applyBorder="1" applyAlignment="1">
      <alignment horizontal="center" vertical="center"/>
    </xf>
    <xf numFmtId="0" fontId="0" fillId="2" borderId="0" xfId="0" applyFill="1" applyAlignment="1">
      <alignment horizontal="center" vertical="center"/>
    </xf>
    <xf numFmtId="0" fontId="0" fillId="3" borderId="44" xfId="0" applyFill="1" applyBorder="1" applyAlignment="1">
      <alignment horizontal="center"/>
    </xf>
    <xf numFmtId="0" fontId="0" fillId="3" borderId="6" xfId="0" applyFill="1" applyBorder="1" applyAlignment="1">
      <alignment horizontal="center"/>
    </xf>
    <xf numFmtId="0" fontId="0" fillId="2" borderId="24" xfId="0" applyFill="1" applyBorder="1" applyAlignment="1">
      <alignment horizontal="center" vertical="center"/>
    </xf>
    <xf numFmtId="0" fontId="8" fillId="2" borderId="0" xfId="0" applyFont="1" applyFill="1" applyAlignment="1">
      <alignment horizontal="center"/>
    </xf>
    <xf numFmtId="0" fontId="3" fillId="2" borderId="0" xfId="0" applyFont="1" applyFill="1" applyAlignment="1">
      <alignment horizontal="center"/>
    </xf>
    <xf numFmtId="0" fontId="0" fillId="3" borderId="16" xfId="0" applyFill="1" applyBorder="1" applyAlignment="1">
      <alignment horizontal="center"/>
    </xf>
    <xf numFmtId="0" fontId="27" fillId="2" borderId="0" xfId="0" applyFont="1" applyFill="1" applyAlignment="1">
      <alignment horizontal="center" vertical="center"/>
    </xf>
    <xf numFmtId="0" fontId="53" fillId="0" borderId="0" xfId="0" applyFont="1"/>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3" fillId="0" borderId="47" xfId="0" applyFont="1" applyBorder="1" applyAlignment="1">
      <alignment horizontal="center"/>
    </xf>
    <xf numFmtId="0" fontId="3" fillId="0" borderId="48" xfId="0" applyFont="1" applyBorder="1" applyAlignment="1">
      <alignment horizontal="center"/>
    </xf>
    <xf numFmtId="0" fontId="48" fillId="12" borderId="16" xfId="0" applyFont="1" applyFill="1" applyBorder="1" applyAlignment="1">
      <alignment horizontal="center"/>
    </xf>
    <xf numFmtId="0" fontId="48" fillId="12" borderId="57" xfId="0" applyFont="1" applyFill="1" applyBorder="1" applyAlignment="1">
      <alignment horizontal="center"/>
    </xf>
    <xf numFmtId="0" fontId="3" fillId="2" borderId="58" xfId="0" applyFont="1" applyFill="1" applyBorder="1" applyAlignment="1">
      <alignment horizontal="center"/>
    </xf>
    <xf numFmtId="0" fontId="3" fillId="2" borderId="59" xfId="0" applyFont="1" applyFill="1" applyBorder="1" applyAlignment="1">
      <alignment horizontal="center"/>
    </xf>
    <xf numFmtId="0" fontId="17" fillId="4" borderId="0" xfId="0" applyFont="1" applyFill="1"/>
    <xf numFmtId="0" fontId="30" fillId="3" borderId="0" xfId="0" applyFont="1" applyFill="1" applyAlignment="1">
      <alignment horizontal="center"/>
    </xf>
    <xf numFmtId="0" fontId="39" fillId="11" borderId="0" xfId="2" applyFont="1" applyFill="1"/>
    <xf numFmtId="0" fontId="3" fillId="11" borderId="0" xfId="2" applyFill="1"/>
    <xf numFmtId="0" fontId="39" fillId="5" borderId="0" xfId="0" applyFont="1" applyFill="1"/>
    <xf numFmtId="0" fontId="39" fillId="5" borderId="0" xfId="2" applyFont="1" applyFill="1"/>
    <xf numFmtId="0" fontId="15" fillId="11" borderId="0" xfId="1" applyFill="1" applyAlignment="1" applyProtection="1">
      <protection locked="0"/>
    </xf>
    <xf numFmtId="0" fontId="55" fillId="11" borderId="37" xfId="2" applyFont="1" applyFill="1" applyBorder="1"/>
    <xf numFmtId="0" fontId="3" fillId="11" borderId="38" xfId="2" applyFill="1" applyBorder="1"/>
    <xf numFmtId="0" fontId="56" fillId="11" borderId="37" xfId="2" applyFont="1" applyFill="1" applyBorder="1"/>
    <xf numFmtId="0" fontId="55" fillId="5" borderId="0" xfId="0" applyFont="1" applyFill="1"/>
    <xf numFmtId="0" fontId="56" fillId="5" borderId="0" xfId="0" applyFont="1" applyFill="1"/>
    <xf numFmtId="14" fontId="10" fillId="2" borderId="25" xfId="0" applyNumberFormat="1" applyFont="1" applyFill="1" applyBorder="1" applyAlignment="1">
      <alignment horizontal="left"/>
    </xf>
    <xf numFmtId="0" fontId="24" fillId="3" borderId="25" xfId="2" applyFont="1" applyFill="1" applyBorder="1"/>
    <xf numFmtId="0" fontId="42" fillId="2" borderId="25" xfId="2" applyFont="1" applyFill="1" applyBorder="1" applyAlignment="1">
      <alignment vertical="top"/>
    </xf>
    <xf numFmtId="0" fontId="3" fillId="2" borderId="25" xfId="2" applyFill="1" applyBorder="1"/>
    <xf numFmtId="0" fontId="3" fillId="2" borderId="27" xfId="2" applyFill="1" applyBorder="1"/>
    <xf numFmtId="0" fontId="10" fillId="2" borderId="23" xfId="0" applyFont="1" applyFill="1" applyBorder="1" applyAlignment="1">
      <alignment horizontal="left"/>
    </xf>
    <xf numFmtId="0" fontId="0" fillId="3" borderId="24" xfId="0" applyFill="1" applyBorder="1"/>
    <xf numFmtId="0" fontId="0" fillId="0" borderId="24" xfId="0" applyBorder="1"/>
    <xf numFmtId="0" fontId="0" fillId="2" borderId="24" xfId="0" applyFill="1" applyBorder="1" applyAlignment="1">
      <alignment horizontal="center"/>
    </xf>
    <xf numFmtId="0" fontId="0" fillId="3" borderId="28" xfId="0" applyFill="1" applyBorder="1"/>
    <xf numFmtId="0" fontId="0" fillId="3" borderId="30" xfId="0" applyFill="1" applyBorder="1"/>
    <xf numFmtId="0" fontId="33" fillId="2" borderId="0" xfId="0" applyFont="1" applyFill="1" applyAlignment="1">
      <alignment vertical="top" wrapText="1"/>
    </xf>
    <xf numFmtId="0" fontId="3" fillId="13" borderId="24" xfId="0" applyFont="1" applyFill="1" applyBorder="1" applyAlignment="1">
      <alignment horizontal="right"/>
    </xf>
    <xf numFmtId="0" fontId="0" fillId="13" borderId="24" xfId="0" applyFill="1" applyBorder="1"/>
    <xf numFmtId="0" fontId="4" fillId="6" borderId="1" xfId="0" applyFont="1" applyFill="1" applyBorder="1" applyAlignment="1" applyProtection="1">
      <alignment horizontal="center" vertical="center"/>
      <protection locked="0"/>
    </xf>
    <xf numFmtId="0" fontId="3" fillId="6" borderId="1" xfId="0" applyFont="1" applyFill="1" applyBorder="1" applyAlignment="1">
      <alignment horizontal="center"/>
    </xf>
    <xf numFmtId="2" fontId="3" fillId="6" borderId="1" xfId="0" applyNumberFormat="1" applyFont="1" applyFill="1" applyBorder="1" applyAlignment="1" applyProtection="1">
      <alignment horizontal="center" vertical="center"/>
      <protection locked="0"/>
    </xf>
    <xf numFmtId="0" fontId="41" fillId="0" borderId="23" xfId="0" applyFont="1" applyBorder="1" applyAlignment="1">
      <alignment horizontal="center" vertical="center" wrapText="1"/>
    </xf>
    <xf numFmtId="0" fontId="41" fillId="0" borderId="24" xfId="0" applyFont="1" applyBorder="1" applyAlignment="1">
      <alignment horizontal="center" vertical="center" wrapText="1"/>
    </xf>
    <xf numFmtId="0" fontId="41" fillId="0" borderId="28" xfId="0" applyFont="1" applyBorder="1" applyAlignment="1">
      <alignment horizontal="center" vertical="center" wrapText="1"/>
    </xf>
    <xf numFmtId="0" fontId="41" fillId="0" borderId="25" xfId="0" applyFont="1" applyBorder="1" applyAlignment="1">
      <alignment horizontal="center" vertical="center" wrapText="1"/>
    </xf>
    <xf numFmtId="0" fontId="41" fillId="0" borderId="0" xfId="0" applyFont="1" applyAlignment="1">
      <alignment horizontal="center" vertical="center" wrapText="1"/>
    </xf>
    <xf numFmtId="0" fontId="41" fillId="0" borderId="29" xfId="0" applyFont="1" applyBorder="1" applyAlignment="1">
      <alignment horizontal="center" vertical="center" wrapText="1"/>
    </xf>
    <xf numFmtId="0" fontId="41" fillId="0" borderId="27" xfId="0" applyFont="1" applyBorder="1" applyAlignment="1">
      <alignment horizontal="center" vertical="center" wrapText="1"/>
    </xf>
    <xf numFmtId="0" fontId="41" fillId="0" borderId="26" xfId="0" applyFont="1" applyBorder="1" applyAlignment="1">
      <alignment horizontal="center" vertical="center" wrapText="1"/>
    </xf>
    <xf numFmtId="0" fontId="41" fillId="0" borderId="30" xfId="0" applyFont="1" applyBorder="1" applyAlignment="1">
      <alignment horizontal="center" vertical="center" wrapText="1"/>
    </xf>
    <xf numFmtId="0" fontId="33" fillId="2" borderId="25" xfId="0" applyFont="1" applyFill="1" applyBorder="1" applyAlignment="1">
      <alignment horizontal="center" vertical="top" wrapText="1"/>
    </xf>
    <xf numFmtId="0" fontId="40" fillId="2" borderId="25" xfId="0" applyFont="1" applyFill="1" applyBorder="1" applyAlignment="1">
      <alignment horizontal="left" vertical="top" wrapText="1"/>
    </xf>
    <xf numFmtId="0" fontId="40" fillId="2" borderId="27" xfId="0" applyFont="1" applyFill="1" applyBorder="1" applyAlignment="1">
      <alignment horizontal="left" vertical="top" wrapText="1"/>
    </xf>
    <xf numFmtId="0" fontId="14" fillId="3" borderId="0" xfId="0" applyFont="1" applyFill="1" applyAlignment="1">
      <alignment horizontal="center" vertical="center"/>
    </xf>
    <xf numFmtId="0" fontId="18" fillId="4" borderId="23" xfId="0" applyFont="1" applyFill="1" applyBorder="1" applyAlignment="1">
      <alignment horizontal="left" vertical="center"/>
    </xf>
    <xf numFmtId="0" fontId="18" fillId="4" borderId="24" xfId="0" applyFont="1" applyFill="1" applyBorder="1" applyAlignment="1">
      <alignment horizontal="left" vertical="center"/>
    </xf>
    <xf numFmtId="0" fontId="49" fillId="2" borderId="0" xfId="0" applyFont="1" applyFill="1" applyAlignment="1">
      <alignment horizontal="center"/>
    </xf>
    <xf numFmtId="0" fontId="49" fillId="2" borderId="26" xfId="0" applyFont="1" applyFill="1" applyBorder="1" applyAlignment="1">
      <alignment horizontal="center"/>
    </xf>
    <xf numFmtId="0" fontId="9" fillId="2" borderId="0" xfId="0" applyFont="1" applyFill="1" applyAlignment="1">
      <alignment horizontal="left" wrapText="1"/>
    </xf>
    <xf numFmtId="0" fontId="9" fillId="2" borderId="7" xfId="0" applyFont="1" applyFill="1" applyBorder="1" applyAlignment="1">
      <alignment horizontal="left" wrapText="1"/>
    </xf>
    <xf numFmtId="0" fontId="15" fillId="2" borderId="0" xfId="1" applyFill="1" applyBorder="1" applyAlignment="1" applyProtection="1">
      <alignment horizontal="left" wrapText="1"/>
    </xf>
    <xf numFmtId="0" fontId="33" fillId="2" borderId="0" xfId="2" applyFont="1" applyFill="1" applyAlignment="1">
      <alignment horizontal="center" vertical="top" wrapText="1"/>
    </xf>
    <xf numFmtId="0" fontId="33" fillId="2" borderId="26" xfId="2" applyFont="1" applyFill="1" applyBorder="1" applyAlignment="1">
      <alignment horizontal="center" vertical="top" wrapText="1"/>
    </xf>
    <xf numFmtId="0" fontId="3" fillId="2" borderId="6" xfId="0" applyFont="1" applyFill="1" applyBorder="1" applyAlignment="1">
      <alignment horizontal="left" wrapText="1"/>
    </xf>
    <xf numFmtId="0" fontId="3" fillId="2" borderId="0" xfId="0" applyFont="1" applyFill="1" applyAlignment="1">
      <alignment horizontal="left" wrapText="1"/>
    </xf>
    <xf numFmtId="0" fontId="0" fillId="2" borderId="0" xfId="0" applyFill="1" applyAlignment="1">
      <alignment horizontal="left" wrapText="1"/>
    </xf>
    <xf numFmtId="0" fontId="0" fillId="2" borderId="6" xfId="0" applyFill="1" applyBorder="1" applyAlignment="1">
      <alignment horizontal="left" wrapText="1"/>
    </xf>
    <xf numFmtId="0" fontId="0" fillId="2" borderId="43" xfId="0" applyFill="1" applyBorder="1" applyAlignment="1">
      <alignment horizontal="left" wrapText="1"/>
    </xf>
    <xf numFmtId="0" fontId="0" fillId="2" borderId="26" xfId="0" applyFill="1" applyBorder="1" applyAlignment="1">
      <alignment horizontal="left" wrapText="1"/>
    </xf>
    <xf numFmtId="0" fontId="3" fillId="2" borderId="6" xfId="0" applyFont="1" applyFill="1" applyBorder="1" applyAlignment="1">
      <alignment horizontal="left" vertical="center" wrapText="1"/>
    </xf>
    <xf numFmtId="0" fontId="3" fillId="2" borderId="0" xfId="0" applyFont="1" applyFill="1" applyAlignment="1">
      <alignment horizontal="left" vertical="center" wrapText="1"/>
    </xf>
    <xf numFmtId="0" fontId="57" fillId="14" borderId="25" xfId="0" applyFont="1" applyFill="1" applyBorder="1" applyAlignment="1">
      <alignment horizontal="center" vertical="center" wrapText="1"/>
    </xf>
    <xf numFmtId="176" fontId="3" fillId="2" borderId="50" xfId="0" applyNumberFormat="1" applyFont="1" applyFill="1" applyBorder="1" applyAlignment="1">
      <alignment horizontal="right"/>
    </xf>
    <xf numFmtId="176" fontId="3" fillId="2" borderId="42" xfId="0" applyNumberFormat="1" applyFont="1" applyFill="1" applyBorder="1" applyAlignment="1">
      <alignment horizontal="right"/>
    </xf>
    <xf numFmtId="176" fontId="3" fillId="2" borderId="12" xfId="0" applyNumberFormat="1" applyFont="1" applyFill="1" applyBorder="1" applyAlignment="1">
      <alignment horizontal="right"/>
    </xf>
    <xf numFmtId="176" fontId="3" fillId="2" borderId="51" xfId="0" applyNumberFormat="1" applyFont="1" applyFill="1" applyBorder="1" applyAlignment="1">
      <alignment horizontal="right"/>
    </xf>
    <xf numFmtId="176" fontId="3" fillId="2" borderId="52" xfId="0" applyNumberFormat="1" applyFont="1" applyFill="1" applyBorder="1" applyAlignment="1">
      <alignment horizontal="right"/>
    </xf>
    <xf numFmtId="176" fontId="3" fillId="2" borderId="53" xfId="0" applyNumberFormat="1" applyFont="1" applyFill="1" applyBorder="1" applyAlignment="1">
      <alignment horizontal="right"/>
    </xf>
    <xf numFmtId="0" fontId="0" fillId="12" borderId="54" xfId="0" applyFill="1" applyBorder="1" applyAlignment="1">
      <alignment horizontal="center"/>
    </xf>
    <xf numFmtId="0" fontId="0" fillId="12" borderId="55" xfId="0" applyFill="1" applyBorder="1" applyAlignment="1">
      <alignment horizontal="center"/>
    </xf>
    <xf numFmtId="0" fontId="0" fillId="12" borderId="56" xfId="0" applyFill="1" applyBorder="1" applyAlignment="1">
      <alignment horizontal="center"/>
    </xf>
    <xf numFmtId="0" fontId="3" fillId="2" borderId="50" xfId="0" applyFont="1" applyFill="1" applyBorder="1" applyAlignment="1">
      <alignment horizontal="right"/>
    </xf>
    <xf numFmtId="0" fontId="3" fillId="2" borderId="42" xfId="0" applyFont="1" applyFill="1" applyBorder="1" applyAlignment="1">
      <alignment horizontal="right"/>
    </xf>
    <xf numFmtId="0" fontId="3" fillId="2" borderId="12" xfId="0" applyFont="1" applyFill="1" applyBorder="1" applyAlignment="1">
      <alignment horizontal="right"/>
    </xf>
    <xf numFmtId="0" fontId="3" fillId="2" borderId="49" xfId="0" applyFont="1" applyFill="1" applyBorder="1" applyAlignment="1">
      <alignment horizontal="right"/>
    </xf>
    <xf numFmtId="0" fontId="3" fillId="2" borderId="9" xfId="0" applyFont="1" applyFill="1" applyBorder="1" applyAlignment="1">
      <alignment horizontal="right"/>
    </xf>
    <xf numFmtId="0" fontId="3" fillId="2" borderId="10" xfId="0" applyFont="1" applyFill="1" applyBorder="1" applyAlignment="1">
      <alignment horizontal="right"/>
    </xf>
    <xf numFmtId="0" fontId="3" fillId="0" borderId="50" xfId="0" applyFont="1" applyBorder="1" applyAlignment="1">
      <alignment horizontal="right"/>
    </xf>
    <xf numFmtId="0" fontId="3" fillId="0" borderId="42" xfId="0" applyFont="1" applyBorder="1" applyAlignment="1">
      <alignment horizontal="right"/>
    </xf>
    <xf numFmtId="0" fontId="3" fillId="0" borderId="12" xfId="0" applyFont="1" applyBorder="1" applyAlignment="1">
      <alignment horizontal="right"/>
    </xf>
    <xf numFmtId="0" fontId="0" fillId="0" borderId="0" xfId="0" applyAlignment="1">
      <alignment horizontal="center"/>
    </xf>
    <xf numFmtId="0" fontId="27" fillId="0" borderId="0" xfId="0" applyFont="1" applyAlignment="1">
      <alignment horizontal="center"/>
    </xf>
    <xf numFmtId="0" fontId="28" fillId="0" borderId="0" xfId="0" applyFont="1" applyAlignment="1">
      <alignment horizontal="center"/>
    </xf>
    <xf numFmtId="0" fontId="4" fillId="0" borderId="0" xfId="0" applyFont="1" applyAlignment="1">
      <alignment horizontal="center"/>
    </xf>
    <xf numFmtId="0" fontId="27" fillId="0" borderId="1" xfId="2" applyFont="1" applyBorder="1" applyAlignment="1">
      <alignment horizontal="center"/>
    </xf>
    <xf numFmtId="0" fontId="3" fillId="0" borderId="1" xfId="0" applyFont="1" applyBorder="1" applyAlignment="1">
      <alignment horizontal="center"/>
    </xf>
    <xf numFmtId="2" fontId="3" fillId="0" borderId="0" xfId="0" applyNumberFormat="1" applyFont="1" applyAlignment="1">
      <alignment horizontal="center"/>
    </xf>
    <xf numFmtId="2" fontId="0" fillId="0" borderId="0" xfId="0" applyNumberFormat="1" applyAlignment="1">
      <alignment horizontal="center"/>
    </xf>
  </cellXfs>
  <cellStyles count="12">
    <cellStyle name="ENTER VALUE" xfId="5" xr:uid="{00000000-0005-0000-0000-000000000000}"/>
    <cellStyle name="ENTER VALUE 2" xfId="9" xr:uid="{00000000-0005-0000-0000-000001000000}"/>
    <cellStyle name="ENTER VALUE 3" xfId="8" xr:uid="{00000000-0005-0000-0000-000002000000}"/>
    <cellStyle name="ENTER VALUE 4" xfId="7" xr:uid="{00000000-0005-0000-0000-000003000000}"/>
    <cellStyle name="Normal 2" xfId="2" xr:uid="{00000000-0005-0000-0000-000006000000}"/>
    <cellStyle name="Normal 3" xfId="10" xr:uid="{00000000-0005-0000-0000-000007000000}"/>
    <cellStyle name="Normal 3 2" xfId="11" xr:uid="{00000000-0005-0000-0000-000008000000}"/>
    <cellStyle name="Style 1" xfId="3" xr:uid="{00000000-0005-0000-0000-000009000000}"/>
    <cellStyle name="Style 2" xfId="4" xr:uid="{00000000-0005-0000-0000-00000A000000}"/>
    <cellStyle name="UNIT" xfId="6" xr:uid="{00000000-0005-0000-0000-00000B000000}"/>
    <cellStyle name="표준" xfId="0" builtinId="0"/>
    <cellStyle name="하이퍼링크" xfId="1" builtinId="8"/>
  </cellStyles>
  <dxfs count="11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numFmt numFmtId="2" formatCode="0.00"/>
    </dxf>
    <dxf>
      <numFmt numFmtId="2" formatCode="0.00"/>
    </dxf>
    <dxf>
      <numFmt numFmtId="180" formatCode="[$$-409]#,##0.000"/>
    </dxf>
    <dxf>
      <font>
        <b val="0"/>
        <i val="0"/>
        <strike val="0"/>
        <condense val="0"/>
        <extend val="0"/>
        <outline val="0"/>
        <shadow val="0"/>
        <u val="none"/>
        <vertAlign val="baseline"/>
        <sz val="10"/>
        <color auto="1"/>
        <name val="Arial"/>
        <family val="2"/>
        <scheme val="none"/>
      </font>
    </dxf>
    <dxf>
      <numFmt numFmtId="2" formatCode="0.00"/>
    </dxf>
    <dxf>
      <numFmt numFmtId="2" formatCode="0.00"/>
    </dxf>
    <dxf>
      <numFmt numFmtId="180" formatCode="[$$-409]#,##0.000"/>
    </dxf>
    <dxf>
      <font>
        <b val="0"/>
        <i val="0"/>
        <strike val="0"/>
        <condense val="0"/>
        <extend val="0"/>
        <outline val="0"/>
        <shadow val="0"/>
        <u val="none"/>
        <vertAlign val="baseline"/>
        <sz val="10"/>
        <color auto="1"/>
        <name val="Arial"/>
        <family val="2"/>
        <scheme val="none"/>
      </font>
    </dxf>
    <dxf>
      <font>
        <color theme="0"/>
      </font>
      <fill>
        <patternFill>
          <bgColor theme="0"/>
        </patternFill>
      </fill>
    </dxf>
    <dxf>
      <font>
        <color theme="0"/>
      </font>
      <fill>
        <patternFill>
          <bgColor theme="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theme="0"/>
      </font>
      <fill>
        <patternFill>
          <bgColor theme="0"/>
        </patternFill>
      </fill>
      <border>
        <top style="thin">
          <color auto="1"/>
        </top>
        <bottom style="thin">
          <color auto="1"/>
        </bottom>
        <vertical/>
        <horizontal/>
      </border>
    </dxf>
    <dxf>
      <font>
        <strike val="0"/>
        <color theme="0"/>
      </font>
      <fill>
        <patternFill>
          <bgColor theme="0"/>
        </patternFill>
      </fill>
    </dxf>
    <dxf>
      <font>
        <strike val="0"/>
        <color theme="0"/>
      </font>
      <fill>
        <patternFill>
          <bgColor theme="0"/>
        </patternFill>
      </fill>
    </dxf>
    <dxf>
      <font>
        <color theme="0"/>
      </font>
    </dxf>
    <dxf>
      <font>
        <color theme="0"/>
      </font>
    </dxf>
    <dxf>
      <font>
        <condense val="0"/>
        <extend val="0"/>
        <color indexed="9"/>
      </font>
      <fill>
        <patternFill>
          <bgColor indexed="9"/>
        </patternFill>
      </fill>
      <border>
        <left/>
        <right/>
        <top/>
        <bottom/>
      </border>
    </dxf>
    <dxf>
      <font>
        <strike val="0"/>
        <color theme="0"/>
      </font>
      <fill>
        <patternFill>
          <bgColor theme="0"/>
        </patternFill>
      </fill>
    </dxf>
    <dxf>
      <font>
        <color theme="0"/>
      </font>
      <fill>
        <patternFill patternType="solid">
          <bgColor theme="0"/>
        </patternFill>
      </fill>
      <border>
        <left/>
        <right/>
      </border>
    </dxf>
    <dxf>
      <font>
        <color theme="0"/>
      </font>
      <fill>
        <patternFill>
          <bgColor theme="0"/>
        </patternFill>
      </fill>
    </dxf>
    <dxf>
      <font>
        <color theme="0"/>
      </font>
      <fill>
        <patternFill>
          <bgColor theme="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ont>
        <color theme="0"/>
      </font>
      <fill>
        <patternFill>
          <bgColor theme="0"/>
        </patternFill>
      </fill>
    </dxf>
    <dxf>
      <font>
        <color theme="0"/>
      </font>
      <fill>
        <patternFill patternType="solid">
          <bgColor theme="0"/>
        </patternFill>
      </fill>
      <border>
        <left/>
        <right/>
      </border>
    </dxf>
    <dxf>
      <fill>
        <patternFill>
          <bgColor rgb="FFFF0000"/>
        </patternFill>
      </fill>
    </dxf>
    <dxf>
      <fill>
        <patternFill>
          <bgColor rgb="FFFF0000"/>
        </patternFill>
      </fill>
    </dxf>
    <dxf>
      <fill>
        <patternFill>
          <bgColor rgb="FFFF0000"/>
        </patternFill>
      </fill>
    </dxf>
    <dxf>
      <font>
        <strike/>
        <color theme="0" tint="-0.24994659260841701"/>
      </font>
      <fill>
        <patternFill patternType="none">
          <bgColor auto="1"/>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5" tint="-0.24994659260841701"/>
        </patternFill>
      </fill>
    </dxf>
    <dxf>
      <fill>
        <patternFill>
          <bgColor rgb="FFFF0000"/>
        </patternFill>
      </fill>
    </dxf>
    <dxf>
      <font>
        <color theme="0"/>
      </font>
    </dxf>
    <dxf>
      <font>
        <color theme="0"/>
      </font>
    </dxf>
    <dxf>
      <font>
        <color theme="0"/>
      </font>
    </dxf>
    <dxf>
      <fill>
        <patternFill>
          <bgColor rgb="FFFFFF00"/>
        </patternFill>
      </fill>
    </dxf>
    <dxf>
      <fill>
        <patternFill>
          <bgColor indexed="10"/>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auto="1"/>
        </top>
        <bottom style="thin">
          <color auto="1"/>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ill>
        <patternFill>
          <bgColor indexed="10"/>
        </patternFill>
      </fill>
    </dxf>
  </dxfs>
  <tableStyles count="0" defaultTableStyle="TableStyleMedium9" defaultPivotStyle="PivotStyleLight16"/>
  <colors>
    <mruColors>
      <color rgb="FF0053FA"/>
      <color rgb="FFFF505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267237229923697"/>
          <c:y val="0.10613723813134238"/>
          <c:w val="0.83144069779259888"/>
          <c:h val="0.76916929287639557"/>
        </c:manualLayout>
      </c:layout>
      <c:scatterChart>
        <c:scatterStyle val="lineMarker"/>
        <c:varyColors val="0"/>
        <c:ser>
          <c:idx val="1"/>
          <c:order val="0"/>
          <c:tx>
            <c:v>Typ Device SOA Limit</c:v>
          </c:tx>
          <c:spPr>
            <a:ln w="25400">
              <a:solidFill>
                <a:srgbClr val="FF0000"/>
              </a:solidFill>
              <a:prstDash val="solid"/>
            </a:ln>
          </c:spPr>
          <c:marker>
            <c:symbol val="none"/>
          </c:marker>
          <c:xVal>
            <c:numRef>
              <c:f>Equations!$R$189:$R$268</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Equations!$T$189:$T$268</c:f>
              <c:numCache>
                <c:formatCode>0.00</c:formatCode>
                <c:ptCount val="80"/>
                <c:pt idx="0">
                  <c:v>260</c:v>
                </c:pt>
                <c:pt idx="1">
                  <c:v>260</c:v>
                </c:pt>
                <c:pt idx="2">
                  <c:v>260</c:v>
                </c:pt>
                <c:pt idx="3">
                  <c:v>260</c:v>
                </c:pt>
                <c:pt idx="4">
                  <c:v>260</c:v>
                </c:pt>
                <c:pt idx="5">
                  <c:v>260</c:v>
                </c:pt>
                <c:pt idx="6">
                  <c:v>260</c:v>
                </c:pt>
                <c:pt idx="7">
                  <c:v>260</c:v>
                </c:pt>
                <c:pt idx="8">
                  <c:v>260</c:v>
                </c:pt>
                <c:pt idx="9">
                  <c:v>260</c:v>
                </c:pt>
                <c:pt idx="10">
                  <c:v>260</c:v>
                </c:pt>
                <c:pt idx="11">
                  <c:v>260</c:v>
                </c:pt>
                <c:pt idx="12">
                  <c:v>242.30769230769226</c:v>
                </c:pt>
                <c:pt idx="13">
                  <c:v>225.71428571428569</c:v>
                </c:pt>
                <c:pt idx="14">
                  <c:v>211.33333333333331</c:v>
                </c:pt>
                <c:pt idx="15">
                  <c:v>198.74999999999997</c:v>
                </c:pt>
                <c:pt idx="16">
                  <c:v>187.64705882352939</c:v>
                </c:pt>
                <c:pt idx="17">
                  <c:v>177.77777777777774</c:v>
                </c:pt>
                <c:pt idx="18">
                  <c:v>168.9473684210526</c:v>
                </c:pt>
                <c:pt idx="19">
                  <c:v>160.99999999999997</c:v>
                </c:pt>
                <c:pt idx="20">
                  <c:v>153.8095238095238</c:v>
                </c:pt>
                <c:pt idx="21">
                  <c:v>147.27272727272725</c:v>
                </c:pt>
                <c:pt idx="22">
                  <c:v>141.30434782608694</c:v>
                </c:pt>
                <c:pt idx="23">
                  <c:v>135.83333333333331</c:v>
                </c:pt>
                <c:pt idx="24">
                  <c:v>130.79999999999998</c:v>
                </c:pt>
                <c:pt idx="25">
                  <c:v>126.15384615384613</c:v>
                </c:pt>
                <c:pt idx="26">
                  <c:v>121.85185185185183</c:v>
                </c:pt>
                <c:pt idx="27">
                  <c:v>117.85714285714285</c:v>
                </c:pt>
                <c:pt idx="28">
                  <c:v>114.13793103448275</c:v>
                </c:pt>
                <c:pt idx="29">
                  <c:v>110.66666666666666</c:v>
                </c:pt>
                <c:pt idx="30">
                  <c:v>107.41935483870967</c:v>
                </c:pt>
                <c:pt idx="31">
                  <c:v>104.37499999999999</c:v>
                </c:pt>
                <c:pt idx="32">
                  <c:v>101.5151515151515</c:v>
                </c:pt>
                <c:pt idx="33">
                  <c:v>98.823529411764696</c:v>
                </c:pt>
                <c:pt idx="34">
                  <c:v>96.285714285714278</c:v>
                </c:pt>
                <c:pt idx="35">
                  <c:v>93.888888888888872</c:v>
                </c:pt>
                <c:pt idx="36">
                  <c:v>91.621621621621614</c:v>
                </c:pt>
                <c:pt idx="37">
                  <c:v>89.473684210526301</c:v>
                </c:pt>
                <c:pt idx="38">
                  <c:v>87.435897435897431</c:v>
                </c:pt>
                <c:pt idx="39">
                  <c:v>85.499999999999986</c:v>
                </c:pt>
                <c:pt idx="40">
                  <c:v>83.658536585365837</c:v>
                </c:pt>
                <c:pt idx="41">
                  <c:v>81.904761904761898</c:v>
                </c:pt>
                <c:pt idx="42">
                  <c:v>80.232558139534873</c:v>
                </c:pt>
                <c:pt idx="43">
                  <c:v>78.636363636363626</c:v>
                </c:pt>
                <c:pt idx="44">
                  <c:v>77.1111111111111</c:v>
                </c:pt>
                <c:pt idx="45">
                  <c:v>75.65217391304347</c:v>
                </c:pt>
                <c:pt idx="46">
                  <c:v>74.255319148936167</c:v>
                </c:pt>
                <c:pt idx="47">
                  <c:v>72.916666666666657</c:v>
                </c:pt>
                <c:pt idx="48">
                  <c:v>71.632653061224474</c:v>
                </c:pt>
                <c:pt idx="49">
                  <c:v>70.399999999999991</c:v>
                </c:pt>
                <c:pt idx="50">
                  <c:v>69.215686274509792</c:v>
                </c:pt>
                <c:pt idx="51">
                  <c:v>68.076923076923066</c:v>
                </c:pt>
                <c:pt idx="52">
                  <c:v>66.981132075471692</c:v>
                </c:pt>
                <c:pt idx="53">
                  <c:v>65.925925925925924</c:v>
                </c:pt>
                <c:pt idx="54">
                  <c:v>64.909090909090907</c:v>
                </c:pt>
                <c:pt idx="55">
                  <c:v>63.928571428571423</c:v>
                </c:pt>
                <c:pt idx="56">
                  <c:v>62.98245614035087</c:v>
                </c:pt>
                <c:pt idx="57">
                  <c:v>62.068965517241374</c:v>
                </c:pt>
                <c:pt idx="58">
                  <c:v>61.186440677966097</c:v>
                </c:pt>
                <c:pt idx="59">
                  <c:v>60.333333333333329</c:v>
                </c:pt>
                <c:pt idx="60">
                  <c:v>59.508196721311471</c:v>
                </c:pt>
                <c:pt idx="61">
                  <c:v>58.709677419354833</c:v>
                </c:pt>
                <c:pt idx="62">
                  <c:v>57.93650793650793</c:v>
                </c:pt>
                <c:pt idx="63">
                  <c:v>57.187499999999993</c:v>
                </c:pt>
                <c:pt idx="64">
                  <c:v>56.461538461538453</c:v>
                </c:pt>
                <c:pt idx="65">
                  <c:v>55.757575757575751</c:v>
                </c:pt>
                <c:pt idx="66">
                  <c:v>55.074626865671632</c:v>
                </c:pt>
                <c:pt idx="67">
                  <c:v>54.411764705882348</c:v>
                </c:pt>
                <c:pt idx="68">
                  <c:v>53.768115942028977</c:v>
                </c:pt>
                <c:pt idx="69">
                  <c:v>53.142857142857139</c:v>
                </c:pt>
                <c:pt idx="70">
                  <c:v>5.0000000000000003E-10</c:v>
                </c:pt>
                <c:pt idx="71">
                  <c:v>5.0000000000000003E-10</c:v>
                </c:pt>
                <c:pt idx="72">
                  <c:v>5.0000000000000003E-10</c:v>
                </c:pt>
                <c:pt idx="73">
                  <c:v>5.0000000000000003E-10</c:v>
                </c:pt>
                <c:pt idx="74">
                  <c:v>5.0000000000000003E-10</c:v>
                </c:pt>
                <c:pt idx="75">
                  <c:v>5.0000000000000003E-10</c:v>
                </c:pt>
                <c:pt idx="76">
                  <c:v>5.0000000000000003E-10</c:v>
                </c:pt>
                <c:pt idx="77">
                  <c:v>5.0000000000000003E-10</c:v>
                </c:pt>
                <c:pt idx="78">
                  <c:v>5.0000000000000003E-10</c:v>
                </c:pt>
                <c:pt idx="79">
                  <c:v>5.0000000000000003E-10</c:v>
                </c:pt>
              </c:numCache>
            </c:numRef>
          </c:yVal>
          <c:smooth val="0"/>
          <c:extLst>
            <c:ext xmlns:c16="http://schemas.microsoft.com/office/drawing/2014/chart" uri="{C3380CC4-5D6E-409C-BE32-E72D297353CC}">
              <c16:uniqueId val="{00000001-078C-4CD8-B44C-8CBDA7B0DD9E}"/>
            </c:ext>
          </c:extLst>
        </c:ser>
        <c:ser>
          <c:idx val="3"/>
          <c:order val="1"/>
          <c:tx>
            <c:v>Temp Derated FET 1 SOA (t=Tfault)</c:v>
          </c:tx>
          <c:spPr>
            <a:ln w="25400">
              <a:solidFill>
                <a:srgbClr val="008000"/>
              </a:solidFill>
              <a:prstDash val="solid"/>
            </a:ln>
          </c:spPr>
          <c:marker>
            <c:symbol val="none"/>
          </c:marker>
          <c:xVal>
            <c:numRef>
              <c:f>SOA!$B$41:$B$46</c:f>
              <c:numCache>
                <c:formatCode>General</c:formatCode>
                <c:ptCount val="6"/>
                <c:pt idx="0">
                  <c:v>1</c:v>
                </c:pt>
                <c:pt idx="1">
                  <c:v>1.2</c:v>
                </c:pt>
                <c:pt idx="2">
                  <c:v>30</c:v>
                </c:pt>
                <c:pt idx="3">
                  <c:v>60</c:v>
                </c:pt>
                <c:pt idx="4">
                  <c:v>80</c:v>
                </c:pt>
                <c:pt idx="5">
                  <c:v>100</c:v>
                </c:pt>
              </c:numCache>
            </c:numRef>
          </c:xVal>
          <c:yVal>
            <c:numRef>
              <c:f>SOA!$C$41:$C$46</c:f>
              <c:numCache>
                <c:formatCode>General</c:formatCode>
                <c:ptCount val="6"/>
                <c:pt idx="0">
                  <c:v>1957.2373986053137</c:v>
                </c:pt>
                <c:pt idx="1">
                  <c:v>1631.0311655044281</c:v>
                </c:pt>
                <c:pt idx="2">
                  <c:v>65.241246620177122</c:v>
                </c:pt>
                <c:pt idx="3">
                  <c:v>32.620623310088561</c:v>
                </c:pt>
                <c:pt idx="4">
                  <c:v>24.465467482566421</c:v>
                </c:pt>
                <c:pt idx="5">
                  <c:v>19.572373986053137</c:v>
                </c:pt>
              </c:numCache>
            </c:numRef>
          </c:yVal>
          <c:smooth val="0"/>
          <c:extLst>
            <c:ext xmlns:c16="http://schemas.microsoft.com/office/drawing/2014/chart" uri="{C3380CC4-5D6E-409C-BE32-E72D297353CC}">
              <c16:uniqueId val="{00000000-078C-4CD8-B44C-8CBDA7B0DD9E}"/>
            </c:ext>
          </c:extLst>
        </c:ser>
        <c:ser>
          <c:idx val="0"/>
          <c:order val="2"/>
          <c:tx>
            <c:v>Temp Derated FET 2 SOA (t=Tfault) </c:v>
          </c:tx>
          <c:marker>
            <c:symbol val="none"/>
          </c:marker>
          <c:xVal>
            <c:numRef>
              <c:f>SOA!$B$89:$B$94</c:f>
              <c:numCache>
                <c:formatCode>General</c:formatCode>
                <c:ptCount val="6"/>
                <c:pt idx="0">
                  <c:v>1</c:v>
                </c:pt>
                <c:pt idx="1">
                  <c:v>1.2</c:v>
                </c:pt>
                <c:pt idx="2">
                  <c:v>30</c:v>
                </c:pt>
                <c:pt idx="3">
                  <c:v>60</c:v>
                </c:pt>
                <c:pt idx="4">
                  <c:v>80</c:v>
                </c:pt>
                <c:pt idx="5">
                  <c:v>100</c:v>
                </c:pt>
              </c:numCache>
            </c:numRef>
          </c:xVal>
          <c:yVal>
            <c:numRef>
              <c:f>SOA!$C$89:$C$94</c:f>
              <c:numCache>
                <c:formatCode>General</c:formatCode>
                <c:ptCount val="6"/>
                <c:pt idx="0">
                  <c:v>802.77590774017199</c:v>
                </c:pt>
                <c:pt idx="1">
                  <c:v>668.97992311681003</c:v>
                </c:pt>
                <c:pt idx="2">
                  <c:v>26.759196924672398</c:v>
                </c:pt>
                <c:pt idx="3">
                  <c:v>13.379598462336199</c:v>
                </c:pt>
                <c:pt idx="4">
                  <c:v>10.03469884675215</c:v>
                </c:pt>
                <c:pt idx="5">
                  <c:v>8.0277590774017202</c:v>
                </c:pt>
              </c:numCache>
            </c:numRef>
          </c:yVal>
          <c:smooth val="0"/>
          <c:extLst>
            <c:ext xmlns:c16="http://schemas.microsoft.com/office/drawing/2014/chart" uri="{C3380CC4-5D6E-409C-BE32-E72D297353CC}">
              <c16:uniqueId val="{00000001-F77E-46E8-9E00-DA9DCDC92FD7}"/>
            </c:ext>
          </c:extLst>
        </c:ser>
        <c:ser>
          <c:idx val="2"/>
          <c:order val="3"/>
          <c:tx>
            <c:v>Temp Derated FET 3 SOA (t=Tfault)</c:v>
          </c:tx>
          <c:marker>
            <c:symbol val="none"/>
          </c:marker>
          <c:xVal>
            <c:numRef>
              <c:f>SOA!$B$137:$B$142</c:f>
              <c:numCache>
                <c:formatCode>General</c:formatCode>
                <c:ptCount val="6"/>
                <c:pt idx="0">
                  <c:v>1</c:v>
                </c:pt>
                <c:pt idx="1">
                  <c:v>1.2</c:v>
                </c:pt>
                <c:pt idx="2">
                  <c:v>30</c:v>
                </c:pt>
                <c:pt idx="3">
                  <c:v>60</c:v>
                </c:pt>
                <c:pt idx="4">
                  <c:v>80</c:v>
                </c:pt>
                <c:pt idx="5">
                  <c:v>100</c:v>
                </c:pt>
              </c:numCache>
            </c:numRef>
          </c:xVal>
          <c:yVal>
            <c:numRef>
              <c:f>SOA!$C$137:$C$142</c:f>
              <c:numCache>
                <c:formatCode>General</c:formatCode>
                <c:ptCount val="6"/>
                <c:pt idx="0">
                  <c:v>2623.7652841624226</c:v>
                </c:pt>
                <c:pt idx="1">
                  <c:v>2186.4710701353524</c:v>
                </c:pt>
                <c:pt idx="2">
                  <c:v>87.458842805414093</c:v>
                </c:pt>
                <c:pt idx="3">
                  <c:v>43.729421402707047</c:v>
                </c:pt>
                <c:pt idx="4">
                  <c:v>32.797066052030281</c:v>
                </c:pt>
                <c:pt idx="5">
                  <c:v>26.237652841624225</c:v>
                </c:pt>
              </c:numCache>
            </c:numRef>
          </c:yVal>
          <c:smooth val="0"/>
          <c:extLst>
            <c:ext xmlns:c16="http://schemas.microsoft.com/office/drawing/2014/chart" uri="{C3380CC4-5D6E-409C-BE32-E72D297353CC}">
              <c16:uniqueId val="{00000002-F77E-46E8-9E00-DA9DCDC92FD7}"/>
            </c:ext>
          </c:extLst>
        </c:ser>
        <c:dLbls>
          <c:showLegendKey val="0"/>
          <c:showVal val="0"/>
          <c:showCatName val="0"/>
          <c:showSerName val="0"/>
          <c:showPercent val="0"/>
          <c:showBubbleSize val="0"/>
        </c:dLbls>
        <c:axId val="97502720"/>
        <c:axId val="97504640"/>
      </c:scatterChart>
      <c:valAx>
        <c:axId val="97502720"/>
        <c:scaling>
          <c:logBase val="10"/>
          <c:orientation val="minMax"/>
          <c:max val="1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V</a:t>
                </a:r>
                <a:r>
                  <a:rPr lang="en-US" sz="900" b="1" i="0" u="none" strike="noStrike" baseline="-25000">
                    <a:solidFill>
                      <a:srgbClr val="000000"/>
                    </a:solidFill>
                    <a:latin typeface="Arial"/>
                    <a:cs typeface="Arial"/>
                  </a:rPr>
                  <a:t>DS</a:t>
                </a:r>
                <a:r>
                  <a:rPr lang="en-US" sz="900" b="1" i="0" u="none" strike="noStrike" baseline="0">
                    <a:solidFill>
                      <a:srgbClr val="000000"/>
                    </a:solidFill>
                    <a:latin typeface="Arial"/>
                    <a:cs typeface="Arial"/>
                  </a:rPr>
                  <a:t> - Drain-to-Source Voltage - V</a:t>
                </a:r>
              </a:p>
            </c:rich>
          </c:tx>
          <c:layout>
            <c:manualLayout>
              <c:xMode val="edge"/>
              <c:yMode val="edge"/>
              <c:x val="0.37459064370200507"/>
              <c:y val="0.94029461520736024"/>
            </c:manualLayout>
          </c:layout>
          <c:overlay val="0"/>
          <c:spPr>
            <a:noFill/>
            <a:ln w="25400">
              <a:noFill/>
            </a:ln>
          </c:spPr>
        </c:title>
        <c:numFmt formatCode="General" sourceLinked="1"/>
        <c:majorTickMark val="none"/>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97504640"/>
        <c:crossesAt val="0.1"/>
        <c:crossBetween val="midCat"/>
      </c:valAx>
      <c:valAx>
        <c:axId val="97504640"/>
        <c:scaling>
          <c:logBase val="10"/>
          <c:orientation val="minMax"/>
          <c:max val="1000"/>
          <c:min val="1"/>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I</a:t>
                </a:r>
                <a:r>
                  <a:rPr lang="en-US" sz="900" b="1" i="0" u="none" strike="noStrike" baseline="-25000">
                    <a:solidFill>
                      <a:srgbClr val="000000"/>
                    </a:solidFill>
                    <a:latin typeface="Arial"/>
                    <a:cs typeface="Arial"/>
                  </a:rPr>
                  <a:t>DS</a:t>
                </a:r>
                <a:r>
                  <a:rPr lang="en-US" sz="900" b="1" i="0" u="none" strike="noStrike" baseline="0">
                    <a:solidFill>
                      <a:srgbClr val="000000"/>
                    </a:solidFill>
                    <a:latin typeface="Arial"/>
                    <a:cs typeface="Arial"/>
                  </a:rPr>
                  <a:t> - Drain-to-Source Current - A</a:t>
                </a:r>
              </a:p>
            </c:rich>
          </c:tx>
          <c:layout>
            <c:manualLayout>
              <c:xMode val="edge"/>
              <c:yMode val="edge"/>
              <c:x val="2.0103885280763262E-2"/>
              <c:y val="0.21497860712616401"/>
            </c:manualLayout>
          </c:layout>
          <c:overlay val="0"/>
          <c:spPr>
            <a:noFill/>
            <a:ln w="25400">
              <a:noFill/>
            </a:ln>
          </c:spPr>
        </c:title>
        <c:numFmt formatCode="General" sourceLinked="0"/>
        <c:majorTickMark val="none"/>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97502720"/>
        <c:crosses val="autoZero"/>
        <c:crossBetween val="midCat"/>
      </c:valAx>
      <c:spPr>
        <a:solidFill>
          <a:srgbClr val="FFFFFF"/>
        </a:solidFill>
        <a:ln w="12700">
          <a:solidFill>
            <a:srgbClr val="808080"/>
          </a:solidFill>
          <a:prstDash val="solid"/>
        </a:ln>
      </c:spPr>
    </c:plotArea>
    <c:legend>
      <c:legendPos val="r"/>
      <c:layout>
        <c:manualLayout>
          <c:xMode val="edge"/>
          <c:yMode val="edge"/>
          <c:x val="0.43686657794363282"/>
          <c:y val="5.8933081466572397E-2"/>
          <c:w val="0.33751968143391076"/>
          <c:h val="0.41170482067842529"/>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33" r="0.750000000000002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600"/>
              <a:t>I</a:t>
            </a:r>
            <a:r>
              <a:rPr lang="en-US" sz="1600" baseline="-25000"/>
              <a:t>LOAD</a:t>
            </a:r>
            <a:r>
              <a:rPr lang="en-US" sz="1600" baseline="0"/>
              <a:t> and I</a:t>
            </a:r>
            <a:r>
              <a:rPr lang="en-US" sz="1600" baseline="-25000"/>
              <a:t>FET</a:t>
            </a:r>
            <a:r>
              <a:rPr lang="en-US" sz="1600" baseline="0"/>
              <a:t> vs Vout </a:t>
            </a:r>
            <a:r>
              <a:rPr lang="en-US" sz="1600" b="1" i="0" baseline="0">
                <a:effectLst/>
              </a:rPr>
              <a:t>(V</a:t>
            </a:r>
            <a:r>
              <a:rPr lang="en-US" sz="1600" b="1" i="0" baseline="-25000">
                <a:effectLst/>
              </a:rPr>
              <a:t>IN</a:t>
            </a:r>
            <a:r>
              <a:rPr lang="en-US" sz="1600" b="1" i="0" baseline="0">
                <a:effectLst/>
              </a:rPr>
              <a:t> = V</a:t>
            </a:r>
            <a:r>
              <a:rPr lang="en-US" sz="1600" b="1" i="0" baseline="-25000">
                <a:effectLst/>
              </a:rPr>
              <a:t>INMAX</a:t>
            </a:r>
            <a:r>
              <a:rPr lang="en-US" sz="1600" b="1" i="0" baseline="0">
                <a:effectLst/>
              </a:rPr>
              <a:t>)</a:t>
            </a:r>
            <a:r>
              <a:rPr lang="en-US" sz="1600" baseline="0"/>
              <a:t>                                               </a:t>
            </a:r>
            <a:endParaRPr lang="en-US" sz="1600" baseline="-25000"/>
          </a:p>
        </c:rich>
      </c:tx>
      <c:layout>
        <c:manualLayout>
          <c:xMode val="edge"/>
          <c:yMode val="edge"/>
          <c:x val="0.16494063286351637"/>
          <c:y val="3.0591748387251084E-2"/>
        </c:manualLayout>
      </c:layout>
      <c:overlay val="1"/>
      <c:spPr>
        <a:solidFill>
          <a:schemeClr val="bg1"/>
        </a:solidFill>
      </c:spPr>
    </c:title>
    <c:autoTitleDeleted val="0"/>
    <c:plotArea>
      <c:layout>
        <c:manualLayout>
          <c:layoutTarget val="inner"/>
          <c:xMode val="edge"/>
          <c:yMode val="edge"/>
          <c:x val="0.15203109554174482"/>
          <c:y val="0.13835811263066838"/>
          <c:w val="0.76865751103613689"/>
          <c:h val="0.70165890209112658"/>
        </c:manualLayout>
      </c:layout>
      <c:scatterChart>
        <c:scatterStyle val="smoothMarker"/>
        <c:varyColors val="0"/>
        <c:ser>
          <c:idx val="0"/>
          <c:order val="0"/>
          <c:tx>
            <c:strRef>
              <c:f>Start_up!$C$7</c:f>
              <c:strCache>
                <c:ptCount val="1"/>
                <c:pt idx="0">
                  <c:v>ILOAD</c:v>
                </c:pt>
              </c:strCache>
            </c:strRef>
          </c:tx>
          <c:marker>
            <c:symbol val="none"/>
          </c:marker>
          <c:xVal>
            <c:numRef>
              <c:f>Start_up!$B$10:$B$111</c:f>
              <c:numCache>
                <c:formatCode>0.00</c:formatCode>
                <c:ptCount val="102"/>
                <c:pt idx="0">
                  <c:v>0</c:v>
                </c:pt>
                <c:pt idx="1">
                  <c:v>0.67307692307692313</c:v>
                </c:pt>
                <c:pt idx="2">
                  <c:v>1.3461538461538463</c:v>
                </c:pt>
                <c:pt idx="3">
                  <c:v>2.0192307692307692</c:v>
                </c:pt>
                <c:pt idx="4">
                  <c:v>2.6923076923076925</c:v>
                </c:pt>
                <c:pt idx="5">
                  <c:v>3.3653846153846154</c:v>
                </c:pt>
                <c:pt idx="6">
                  <c:v>4.0384615384615383</c:v>
                </c:pt>
                <c:pt idx="7">
                  <c:v>4.7115384615384617</c:v>
                </c:pt>
                <c:pt idx="8">
                  <c:v>5.384615384615385</c:v>
                </c:pt>
                <c:pt idx="9">
                  <c:v>6.0576923076923075</c:v>
                </c:pt>
                <c:pt idx="10">
                  <c:v>6.7307692307692308</c:v>
                </c:pt>
                <c:pt idx="11">
                  <c:v>7.4038461538461542</c:v>
                </c:pt>
                <c:pt idx="12">
                  <c:v>8.0769230769230766</c:v>
                </c:pt>
                <c:pt idx="13">
                  <c:v>8.75</c:v>
                </c:pt>
                <c:pt idx="14">
                  <c:v>9.4230769230769234</c:v>
                </c:pt>
                <c:pt idx="15">
                  <c:v>10.096153846153845</c:v>
                </c:pt>
                <c:pt idx="16">
                  <c:v>10.76923076923077</c:v>
                </c:pt>
                <c:pt idx="17">
                  <c:v>11.442307692307692</c:v>
                </c:pt>
                <c:pt idx="18">
                  <c:v>12.115384615384615</c:v>
                </c:pt>
                <c:pt idx="19">
                  <c:v>12.788461538461538</c:v>
                </c:pt>
                <c:pt idx="20">
                  <c:v>13.461538461538462</c:v>
                </c:pt>
                <c:pt idx="21">
                  <c:v>14.134615384615385</c:v>
                </c:pt>
                <c:pt idx="22">
                  <c:v>14.807692307692308</c:v>
                </c:pt>
                <c:pt idx="23">
                  <c:v>15.48076923076923</c:v>
                </c:pt>
                <c:pt idx="24">
                  <c:v>16.153846153846153</c:v>
                </c:pt>
                <c:pt idx="25">
                  <c:v>16.826923076923077</c:v>
                </c:pt>
                <c:pt idx="26">
                  <c:v>17.5</c:v>
                </c:pt>
                <c:pt idx="27">
                  <c:v>18.173076923076923</c:v>
                </c:pt>
                <c:pt idx="28">
                  <c:v>18.846153846153847</c:v>
                </c:pt>
                <c:pt idx="29">
                  <c:v>19.51923076923077</c:v>
                </c:pt>
                <c:pt idx="30">
                  <c:v>20.19230769230769</c:v>
                </c:pt>
                <c:pt idx="31">
                  <c:v>20.865384615384617</c:v>
                </c:pt>
                <c:pt idx="32">
                  <c:v>21.53846153846154</c:v>
                </c:pt>
                <c:pt idx="33">
                  <c:v>22.21153846153846</c:v>
                </c:pt>
                <c:pt idx="34">
                  <c:v>22.884615384615383</c:v>
                </c:pt>
                <c:pt idx="35">
                  <c:v>23.55769230769231</c:v>
                </c:pt>
                <c:pt idx="36">
                  <c:v>24.23076923076923</c:v>
                </c:pt>
                <c:pt idx="37">
                  <c:v>24.903846153846153</c:v>
                </c:pt>
                <c:pt idx="38">
                  <c:v>25.576923076923077</c:v>
                </c:pt>
                <c:pt idx="39">
                  <c:v>26.25</c:v>
                </c:pt>
                <c:pt idx="40">
                  <c:v>26.923076923076923</c:v>
                </c:pt>
                <c:pt idx="41">
                  <c:v>27.596153846153847</c:v>
                </c:pt>
                <c:pt idx="42">
                  <c:v>28.26923076923077</c:v>
                </c:pt>
                <c:pt idx="43">
                  <c:v>28.94230769230769</c:v>
                </c:pt>
                <c:pt idx="44">
                  <c:v>29.615384615384617</c:v>
                </c:pt>
                <c:pt idx="45">
                  <c:v>30.28846153846154</c:v>
                </c:pt>
                <c:pt idx="46">
                  <c:v>30.96153846153846</c:v>
                </c:pt>
                <c:pt idx="47">
                  <c:v>31.634615384615383</c:v>
                </c:pt>
                <c:pt idx="48">
                  <c:v>32.307692307692307</c:v>
                </c:pt>
                <c:pt idx="49">
                  <c:v>32.980769230769234</c:v>
                </c:pt>
                <c:pt idx="50">
                  <c:v>33.653846153846153</c:v>
                </c:pt>
                <c:pt idx="51">
                  <c:v>34.326923076923073</c:v>
                </c:pt>
                <c:pt idx="52">
                  <c:v>35</c:v>
                </c:pt>
                <c:pt idx="53">
                  <c:v>35.67307692307692</c:v>
                </c:pt>
                <c:pt idx="54">
                  <c:v>36.346153846153847</c:v>
                </c:pt>
                <c:pt idx="55">
                  <c:v>37.019230769230766</c:v>
                </c:pt>
                <c:pt idx="56">
                  <c:v>37.692307692307693</c:v>
                </c:pt>
                <c:pt idx="57">
                  <c:v>38.36538461538462</c:v>
                </c:pt>
                <c:pt idx="58">
                  <c:v>39.03846153846154</c:v>
                </c:pt>
                <c:pt idx="59">
                  <c:v>39.71153846153846</c:v>
                </c:pt>
                <c:pt idx="60">
                  <c:v>40.38461538461538</c:v>
                </c:pt>
                <c:pt idx="61">
                  <c:v>41.057692307692307</c:v>
                </c:pt>
                <c:pt idx="62">
                  <c:v>41.730769230769234</c:v>
                </c:pt>
                <c:pt idx="63">
                  <c:v>42.403846153846153</c:v>
                </c:pt>
                <c:pt idx="64">
                  <c:v>43.07692307692308</c:v>
                </c:pt>
                <c:pt idx="65">
                  <c:v>43.75</c:v>
                </c:pt>
                <c:pt idx="66">
                  <c:v>44.42307692307692</c:v>
                </c:pt>
                <c:pt idx="67">
                  <c:v>45.096153846153847</c:v>
                </c:pt>
                <c:pt idx="68">
                  <c:v>45.769230769230766</c:v>
                </c:pt>
                <c:pt idx="69">
                  <c:v>46.442307692307693</c:v>
                </c:pt>
                <c:pt idx="70">
                  <c:v>47.11538461538462</c:v>
                </c:pt>
                <c:pt idx="71">
                  <c:v>47.78846153846154</c:v>
                </c:pt>
                <c:pt idx="72">
                  <c:v>48.46153846153846</c:v>
                </c:pt>
                <c:pt idx="73">
                  <c:v>49.13461538461538</c:v>
                </c:pt>
                <c:pt idx="74">
                  <c:v>49.807692307692307</c:v>
                </c:pt>
                <c:pt idx="75">
                  <c:v>50.480769230769234</c:v>
                </c:pt>
                <c:pt idx="76">
                  <c:v>51.153846153846153</c:v>
                </c:pt>
                <c:pt idx="77">
                  <c:v>51.82692307692308</c:v>
                </c:pt>
                <c:pt idx="78">
                  <c:v>52.5</c:v>
                </c:pt>
                <c:pt idx="79">
                  <c:v>53.17307692307692</c:v>
                </c:pt>
                <c:pt idx="80">
                  <c:v>53.846153846153847</c:v>
                </c:pt>
                <c:pt idx="81">
                  <c:v>54.519230769230766</c:v>
                </c:pt>
                <c:pt idx="82">
                  <c:v>55.192307692307693</c:v>
                </c:pt>
                <c:pt idx="83">
                  <c:v>55.86538461538462</c:v>
                </c:pt>
                <c:pt idx="84">
                  <c:v>56.53846153846154</c:v>
                </c:pt>
                <c:pt idx="85">
                  <c:v>57.21153846153846</c:v>
                </c:pt>
                <c:pt idx="86">
                  <c:v>57.88461538461538</c:v>
                </c:pt>
                <c:pt idx="87">
                  <c:v>58.557692307692307</c:v>
                </c:pt>
                <c:pt idx="88">
                  <c:v>59.230769230769234</c:v>
                </c:pt>
                <c:pt idx="89">
                  <c:v>59.903846153846153</c:v>
                </c:pt>
                <c:pt idx="90">
                  <c:v>60.57692307692308</c:v>
                </c:pt>
                <c:pt idx="91">
                  <c:v>61.25</c:v>
                </c:pt>
                <c:pt idx="92">
                  <c:v>61.92307692307692</c:v>
                </c:pt>
                <c:pt idx="93">
                  <c:v>62.596153846153847</c:v>
                </c:pt>
                <c:pt idx="94">
                  <c:v>63.269230769230766</c:v>
                </c:pt>
                <c:pt idx="95">
                  <c:v>63.942307692307693</c:v>
                </c:pt>
                <c:pt idx="96">
                  <c:v>64.615384615384613</c:v>
                </c:pt>
                <c:pt idx="97">
                  <c:v>65.288461538461533</c:v>
                </c:pt>
                <c:pt idx="98">
                  <c:v>65.961538461538467</c:v>
                </c:pt>
                <c:pt idx="99">
                  <c:v>66.634615384615387</c:v>
                </c:pt>
                <c:pt idx="100">
                  <c:v>67.307692307692307</c:v>
                </c:pt>
                <c:pt idx="101">
                  <c:v>67.980769230769226</c:v>
                </c:pt>
              </c:numCache>
            </c:numRef>
          </c:xVal>
          <c:yVal>
            <c:numRef>
              <c:f>Start_up!$C$10:$C$111</c:f>
              <c:numCache>
                <c:formatCode>0.000</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numCache>
            </c:numRef>
          </c:yVal>
          <c:smooth val="1"/>
          <c:extLst>
            <c:ext xmlns:c16="http://schemas.microsoft.com/office/drawing/2014/chart" uri="{C3380CC4-5D6E-409C-BE32-E72D297353CC}">
              <c16:uniqueId val="{00000000-86D8-4BB5-9F98-13AE17045071}"/>
            </c:ext>
          </c:extLst>
        </c:ser>
        <c:ser>
          <c:idx val="1"/>
          <c:order val="1"/>
          <c:tx>
            <c:strRef>
              <c:f>Start_up!$G$7</c:f>
              <c:strCache>
                <c:ptCount val="1"/>
                <c:pt idx="0">
                  <c:v>IFET</c:v>
                </c:pt>
              </c:strCache>
            </c:strRef>
          </c:tx>
          <c:marker>
            <c:symbol val="none"/>
          </c:marker>
          <c:xVal>
            <c:numRef>
              <c:f>Start_up!$B$10:$B$111</c:f>
              <c:numCache>
                <c:formatCode>0.00</c:formatCode>
                <c:ptCount val="102"/>
                <c:pt idx="0">
                  <c:v>0</c:v>
                </c:pt>
                <c:pt idx="1">
                  <c:v>0.67307692307692313</c:v>
                </c:pt>
                <c:pt idx="2">
                  <c:v>1.3461538461538463</c:v>
                </c:pt>
                <c:pt idx="3">
                  <c:v>2.0192307692307692</c:v>
                </c:pt>
                <c:pt idx="4">
                  <c:v>2.6923076923076925</c:v>
                </c:pt>
                <c:pt idx="5">
                  <c:v>3.3653846153846154</c:v>
                </c:pt>
                <c:pt idx="6">
                  <c:v>4.0384615384615383</c:v>
                </c:pt>
                <c:pt idx="7">
                  <c:v>4.7115384615384617</c:v>
                </c:pt>
                <c:pt idx="8">
                  <c:v>5.384615384615385</c:v>
                </c:pt>
                <c:pt idx="9">
                  <c:v>6.0576923076923075</c:v>
                </c:pt>
                <c:pt idx="10">
                  <c:v>6.7307692307692308</c:v>
                </c:pt>
                <c:pt idx="11">
                  <c:v>7.4038461538461542</c:v>
                </c:pt>
                <c:pt idx="12">
                  <c:v>8.0769230769230766</c:v>
                </c:pt>
                <c:pt idx="13">
                  <c:v>8.75</c:v>
                </c:pt>
                <c:pt idx="14">
                  <c:v>9.4230769230769234</c:v>
                </c:pt>
                <c:pt idx="15">
                  <c:v>10.096153846153845</c:v>
                </c:pt>
                <c:pt idx="16">
                  <c:v>10.76923076923077</c:v>
                </c:pt>
                <c:pt idx="17">
                  <c:v>11.442307692307692</c:v>
                </c:pt>
                <c:pt idx="18">
                  <c:v>12.115384615384615</c:v>
                </c:pt>
                <c:pt idx="19">
                  <c:v>12.788461538461538</c:v>
                </c:pt>
                <c:pt idx="20">
                  <c:v>13.461538461538462</c:v>
                </c:pt>
                <c:pt idx="21">
                  <c:v>14.134615384615385</c:v>
                </c:pt>
                <c:pt idx="22">
                  <c:v>14.807692307692308</c:v>
                </c:pt>
                <c:pt idx="23">
                  <c:v>15.48076923076923</c:v>
                </c:pt>
                <c:pt idx="24">
                  <c:v>16.153846153846153</c:v>
                </c:pt>
                <c:pt idx="25">
                  <c:v>16.826923076923077</c:v>
                </c:pt>
                <c:pt idx="26">
                  <c:v>17.5</c:v>
                </c:pt>
                <c:pt idx="27">
                  <c:v>18.173076923076923</c:v>
                </c:pt>
                <c:pt idx="28">
                  <c:v>18.846153846153847</c:v>
                </c:pt>
                <c:pt idx="29">
                  <c:v>19.51923076923077</c:v>
                </c:pt>
                <c:pt idx="30">
                  <c:v>20.19230769230769</c:v>
                </c:pt>
                <c:pt idx="31">
                  <c:v>20.865384615384617</c:v>
                </c:pt>
                <c:pt idx="32">
                  <c:v>21.53846153846154</c:v>
                </c:pt>
                <c:pt idx="33">
                  <c:v>22.21153846153846</c:v>
                </c:pt>
                <c:pt idx="34">
                  <c:v>22.884615384615383</c:v>
                </c:pt>
                <c:pt idx="35">
                  <c:v>23.55769230769231</c:v>
                </c:pt>
                <c:pt idx="36">
                  <c:v>24.23076923076923</c:v>
                </c:pt>
                <c:pt idx="37">
                  <c:v>24.903846153846153</c:v>
                </c:pt>
                <c:pt idx="38">
                  <c:v>25.576923076923077</c:v>
                </c:pt>
                <c:pt idx="39">
                  <c:v>26.25</c:v>
                </c:pt>
                <c:pt idx="40">
                  <c:v>26.923076923076923</c:v>
                </c:pt>
                <c:pt idx="41">
                  <c:v>27.596153846153847</c:v>
                </c:pt>
                <c:pt idx="42">
                  <c:v>28.26923076923077</c:v>
                </c:pt>
                <c:pt idx="43">
                  <c:v>28.94230769230769</c:v>
                </c:pt>
                <c:pt idx="44">
                  <c:v>29.615384615384617</c:v>
                </c:pt>
                <c:pt idx="45">
                  <c:v>30.28846153846154</c:v>
                </c:pt>
                <c:pt idx="46">
                  <c:v>30.96153846153846</c:v>
                </c:pt>
                <c:pt idx="47">
                  <c:v>31.634615384615383</c:v>
                </c:pt>
                <c:pt idx="48">
                  <c:v>32.307692307692307</c:v>
                </c:pt>
                <c:pt idx="49">
                  <c:v>32.980769230769234</c:v>
                </c:pt>
                <c:pt idx="50">
                  <c:v>33.653846153846153</c:v>
                </c:pt>
                <c:pt idx="51">
                  <c:v>34.326923076923073</c:v>
                </c:pt>
                <c:pt idx="52">
                  <c:v>35</c:v>
                </c:pt>
                <c:pt idx="53">
                  <c:v>35.67307692307692</c:v>
                </c:pt>
                <c:pt idx="54">
                  <c:v>36.346153846153847</c:v>
                </c:pt>
                <c:pt idx="55">
                  <c:v>37.019230769230766</c:v>
                </c:pt>
                <c:pt idx="56">
                  <c:v>37.692307692307693</c:v>
                </c:pt>
                <c:pt idx="57">
                  <c:v>38.36538461538462</c:v>
                </c:pt>
                <c:pt idx="58">
                  <c:v>39.03846153846154</c:v>
                </c:pt>
                <c:pt idx="59">
                  <c:v>39.71153846153846</c:v>
                </c:pt>
                <c:pt idx="60">
                  <c:v>40.38461538461538</c:v>
                </c:pt>
                <c:pt idx="61">
                  <c:v>41.057692307692307</c:v>
                </c:pt>
                <c:pt idx="62">
                  <c:v>41.730769230769234</c:v>
                </c:pt>
                <c:pt idx="63">
                  <c:v>42.403846153846153</c:v>
                </c:pt>
                <c:pt idx="64">
                  <c:v>43.07692307692308</c:v>
                </c:pt>
                <c:pt idx="65">
                  <c:v>43.75</c:v>
                </c:pt>
                <c:pt idx="66">
                  <c:v>44.42307692307692</c:v>
                </c:pt>
                <c:pt idx="67">
                  <c:v>45.096153846153847</c:v>
                </c:pt>
                <c:pt idx="68">
                  <c:v>45.769230769230766</c:v>
                </c:pt>
                <c:pt idx="69">
                  <c:v>46.442307692307693</c:v>
                </c:pt>
                <c:pt idx="70">
                  <c:v>47.11538461538462</c:v>
                </c:pt>
                <c:pt idx="71">
                  <c:v>47.78846153846154</c:v>
                </c:pt>
                <c:pt idx="72">
                  <c:v>48.46153846153846</c:v>
                </c:pt>
                <c:pt idx="73">
                  <c:v>49.13461538461538</c:v>
                </c:pt>
                <c:pt idx="74">
                  <c:v>49.807692307692307</c:v>
                </c:pt>
                <c:pt idx="75">
                  <c:v>50.480769230769234</c:v>
                </c:pt>
                <c:pt idx="76">
                  <c:v>51.153846153846153</c:v>
                </c:pt>
                <c:pt idx="77">
                  <c:v>51.82692307692308</c:v>
                </c:pt>
                <c:pt idx="78">
                  <c:v>52.5</c:v>
                </c:pt>
                <c:pt idx="79">
                  <c:v>53.17307692307692</c:v>
                </c:pt>
                <c:pt idx="80">
                  <c:v>53.846153846153847</c:v>
                </c:pt>
                <c:pt idx="81">
                  <c:v>54.519230769230766</c:v>
                </c:pt>
                <c:pt idx="82">
                  <c:v>55.192307692307693</c:v>
                </c:pt>
                <c:pt idx="83">
                  <c:v>55.86538461538462</c:v>
                </c:pt>
                <c:pt idx="84">
                  <c:v>56.53846153846154</c:v>
                </c:pt>
                <c:pt idx="85">
                  <c:v>57.21153846153846</c:v>
                </c:pt>
                <c:pt idx="86">
                  <c:v>57.88461538461538</c:v>
                </c:pt>
                <c:pt idx="87">
                  <c:v>58.557692307692307</c:v>
                </c:pt>
                <c:pt idx="88">
                  <c:v>59.230769230769234</c:v>
                </c:pt>
                <c:pt idx="89">
                  <c:v>59.903846153846153</c:v>
                </c:pt>
                <c:pt idx="90">
                  <c:v>60.57692307692308</c:v>
                </c:pt>
                <c:pt idx="91">
                  <c:v>61.25</c:v>
                </c:pt>
                <c:pt idx="92">
                  <c:v>61.92307692307692</c:v>
                </c:pt>
                <c:pt idx="93">
                  <c:v>62.596153846153847</c:v>
                </c:pt>
                <c:pt idx="94">
                  <c:v>63.269230769230766</c:v>
                </c:pt>
                <c:pt idx="95">
                  <c:v>63.942307692307693</c:v>
                </c:pt>
                <c:pt idx="96">
                  <c:v>64.615384615384613</c:v>
                </c:pt>
                <c:pt idx="97">
                  <c:v>65.288461538461533</c:v>
                </c:pt>
                <c:pt idx="98">
                  <c:v>65.961538461538467</c:v>
                </c:pt>
                <c:pt idx="99">
                  <c:v>66.634615384615387</c:v>
                </c:pt>
                <c:pt idx="100">
                  <c:v>67.307692307692307</c:v>
                </c:pt>
                <c:pt idx="101">
                  <c:v>67.980769230769226</c:v>
                </c:pt>
              </c:numCache>
            </c:numRef>
          </c:xVal>
          <c:yVal>
            <c:numRef>
              <c:f>Start_up!$G$10:$G$112</c:f>
              <c:numCache>
                <c:formatCode>General</c:formatCode>
                <c:ptCount val="103"/>
                <c:pt idx="0">
                  <c:v>44</c:v>
                </c:pt>
                <c:pt idx="1">
                  <c:v>44</c:v>
                </c:pt>
                <c:pt idx="2">
                  <c:v>44</c:v>
                </c:pt>
                <c:pt idx="3">
                  <c:v>44</c:v>
                </c:pt>
                <c:pt idx="4">
                  <c:v>44</c:v>
                </c:pt>
                <c:pt idx="5">
                  <c:v>44</c:v>
                </c:pt>
                <c:pt idx="6">
                  <c:v>44</c:v>
                </c:pt>
                <c:pt idx="7">
                  <c:v>44</c:v>
                </c:pt>
                <c:pt idx="8">
                  <c:v>44</c:v>
                </c:pt>
                <c:pt idx="9">
                  <c:v>44</c:v>
                </c:pt>
                <c:pt idx="10">
                  <c:v>44</c:v>
                </c:pt>
                <c:pt idx="11">
                  <c:v>44</c:v>
                </c:pt>
                <c:pt idx="12">
                  <c:v>44</c:v>
                </c:pt>
                <c:pt idx="13">
                  <c:v>44</c:v>
                </c:pt>
                <c:pt idx="14">
                  <c:v>44</c:v>
                </c:pt>
                <c:pt idx="15">
                  <c:v>44</c:v>
                </c:pt>
                <c:pt idx="16">
                  <c:v>44</c:v>
                </c:pt>
                <c:pt idx="17">
                  <c:v>44</c:v>
                </c:pt>
                <c:pt idx="18">
                  <c:v>44</c:v>
                </c:pt>
                <c:pt idx="19">
                  <c:v>44</c:v>
                </c:pt>
                <c:pt idx="20">
                  <c:v>44</c:v>
                </c:pt>
                <c:pt idx="21">
                  <c:v>44</c:v>
                </c:pt>
                <c:pt idx="22">
                  <c:v>44</c:v>
                </c:pt>
                <c:pt idx="23">
                  <c:v>44</c:v>
                </c:pt>
                <c:pt idx="24">
                  <c:v>44</c:v>
                </c:pt>
                <c:pt idx="25">
                  <c:v>44</c:v>
                </c:pt>
                <c:pt idx="26">
                  <c:v>44</c:v>
                </c:pt>
                <c:pt idx="27">
                  <c:v>44</c:v>
                </c:pt>
                <c:pt idx="28">
                  <c:v>44</c:v>
                </c:pt>
                <c:pt idx="29">
                  <c:v>44</c:v>
                </c:pt>
                <c:pt idx="30">
                  <c:v>44</c:v>
                </c:pt>
                <c:pt idx="31">
                  <c:v>44</c:v>
                </c:pt>
                <c:pt idx="32">
                  <c:v>44</c:v>
                </c:pt>
                <c:pt idx="33">
                  <c:v>44</c:v>
                </c:pt>
                <c:pt idx="34">
                  <c:v>44</c:v>
                </c:pt>
                <c:pt idx="35">
                  <c:v>44</c:v>
                </c:pt>
                <c:pt idx="36">
                  <c:v>44</c:v>
                </c:pt>
                <c:pt idx="37">
                  <c:v>44</c:v>
                </c:pt>
                <c:pt idx="38">
                  <c:v>44</c:v>
                </c:pt>
                <c:pt idx="39">
                  <c:v>44</c:v>
                </c:pt>
                <c:pt idx="40">
                  <c:v>44</c:v>
                </c:pt>
                <c:pt idx="41">
                  <c:v>44</c:v>
                </c:pt>
                <c:pt idx="42">
                  <c:v>44</c:v>
                </c:pt>
                <c:pt idx="43">
                  <c:v>44</c:v>
                </c:pt>
                <c:pt idx="44">
                  <c:v>44</c:v>
                </c:pt>
                <c:pt idx="45">
                  <c:v>44</c:v>
                </c:pt>
                <c:pt idx="46">
                  <c:v>44</c:v>
                </c:pt>
                <c:pt idx="47">
                  <c:v>44</c:v>
                </c:pt>
                <c:pt idx="48">
                  <c:v>44</c:v>
                </c:pt>
                <c:pt idx="49">
                  <c:v>44</c:v>
                </c:pt>
                <c:pt idx="50">
                  <c:v>44</c:v>
                </c:pt>
                <c:pt idx="51">
                  <c:v>44</c:v>
                </c:pt>
                <c:pt idx="52">
                  <c:v>44</c:v>
                </c:pt>
                <c:pt idx="53">
                  <c:v>44</c:v>
                </c:pt>
                <c:pt idx="54">
                  <c:v>44</c:v>
                </c:pt>
                <c:pt idx="55">
                  <c:v>44</c:v>
                </c:pt>
                <c:pt idx="56">
                  <c:v>44</c:v>
                </c:pt>
                <c:pt idx="57">
                  <c:v>44</c:v>
                </c:pt>
                <c:pt idx="58">
                  <c:v>44</c:v>
                </c:pt>
                <c:pt idx="59">
                  <c:v>44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numCache>
            </c:numRef>
          </c:yVal>
          <c:smooth val="1"/>
          <c:extLst>
            <c:ext xmlns:c16="http://schemas.microsoft.com/office/drawing/2014/chart" uri="{C3380CC4-5D6E-409C-BE32-E72D297353CC}">
              <c16:uniqueId val="{00000001-86D8-4BB5-9F98-13AE17045071}"/>
            </c:ext>
          </c:extLst>
        </c:ser>
        <c:dLbls>
          <c:showLegendKey val="0"/>
          <c:showVal val="0"/>
          <c:showCatName val="0"/>
          <c:showSerName val="0"/>
          <c:showPercent val="0"/>
          <c:showBubbleSize val="0"/>
        </c:dLbls>
        <c:axId val="97616256"/>
        <c:axId val="97618176"/>
      </c:scatterChart>
      <c:valAx>
        <c:axId val="97616256"/>
        <c:scaling>
          <c:orientation val="minMax"/>
        </c:scaling>
        <c:delete val="0"/>
        <c:axPos val="b"/>
        <c:majorGridlines/>
        <c:minorGridlines/>
        <c:title>
          <c:tx>
            <c:rich>
              <a:bodyPr/>
              <a:lstStyle/>
              <a:p>
                <a:pPr>
                  <a:defRPr/>
                </a:pPr>
                <a:r>
                  <a:rPr lang="en-US"/>
                  <a:t>Output</a:t>
                </a:r>
                <a:r>
                  <a:rPr lang="en-US" baseline="0"/>
                  <a:t> Voltage (V)</a:t>
                </a:r>
                <a:endParaRPr lang="en-US"/>
              </a:p>
            </c:rich>
          </c:tx>
          <c:layout>
            <c:manualLayout>
              <c:xMode val="edge"/>
              <c:yMode val="edge"/>
              <c:x val="0.40914479681091759"/>
              <c:y val="0.92545001031614371"/>
            </c:manualLayout>
          </c:layout>
          <c:overlay val="0"/>
        </c:title>
        <c:numFmt formatCode="0.00" sourceLinked="1"/>
        <c:majorTickMark val="out"/>
        <c:minorTickMark val="none"/>
        <c:tickLblPos val="nextTo"/>
        <c:txPr>
          <a:bodyPr/>
          <a:lstStyle/>
          <a:p>
            <a:pPr>
              <a:defRPr b="1"/>
            </a:pPr>
            <a:endParaRPr lang="en-US"/>
          </a:p>
        </c:txPr>
        <c:crossAx val="97618176"/>
        <c:crosses val="autoZero"/>
        <c:crossBetween val="midCat"/>
      </c:valAx>
      <c:valAx>
        <c:axId val="97618176"/>
        <c:scaling>
          <c:orientation val="minMax"/>
          <c:min val="0"/>
        </c:scaling>
        <c:delete val="0"/>
        <c:axPos val="l"/>
        <c:majorGridlines/>
        <c:minorGridlines/>
        <c:title>
          <c:tx>
            <c:rich>
              <a:bodyPr rot="-5400000" vert="horz"/>
              <a:lstStyle/>
              <a:p>
                <a:pPr>
                  <a:defRPr/>
                </a:pPr>
                <a:r>
                  <a:rPr lang="en-US"/>
                  <a:t>Current (A)</a:t>
                </a:r>
              </a:p>
            </c:rich>
          </c:tx>
          <c:layout>
            <c:manualLayout>
              <c:xMode val="edge"/>
              <c:yMode val="edge"/>
              <c:x val="2.5894125229633976E-2"/>
              <c:y val="0.40230013499530876"/>
            </c:manualLayout>
          </c:layout>
          <c:overlay val="0"/>
        </c:title>
        <c:numFmt formatCode="0.00" sourceLinked="0"/>
        <c:majorTickMark val="out"/>
        <c:minorTickMark val="none"/>
        <c:tickLblPos val="nextTo"/>
        <c:txPr>
          <a:bodyPr/>
          <a:lstStyle/>
          <a:p>
            <a:pPr>
              <a:defRPr b="1"/>
            </a:pPr>
            <a:endParaRPr lang="en-US"/>
          </a:p>
        </c:txPr>
        <c:crossAx val="97616256"/>
        <c:crosses val="autoZero"/>
        <c:crossBetween val="midCat"/>
      </c:valAx>
    </c:plotArea>
    <c:legend>
      <c:legendPos val="r"/>
      <c:layout>
        <c:manualLayout>
          <c:xMode val="edge"/>
          <c:yMode val="edge"/>
          <c:x val="0.73033541997931362"/>
          <c:y val="0.30818057993923337"/>
          <c:w val="0.21462230092985587"/>
          <c:h val="0.18516649249275954"/>
        </c:manualLayout>
      </c:layout>
      <c:overlay val="0"/>
      <c:spPr>
        <a:solidFill>
          <a:sysClr val="window" lastClr="FFFFFF"/>
        </a:solidFill>
        <a:ln>
          <a:solidFill>
            <a:schemeClr val="tx1"/>
          </a:solidFill>
        </a:ln>
      </c:spPr>
      <c:txPr>
        <a:bodyPr/>
        <a:lstStyle/>
        <a:p>
          <a:pPr>
            <a:defRPr>
              <a:ln>
                <a:solidFill>
                  <a:sysClr val="windowText" lastClr="000000"/>
                </a:solidFill>
              </a:ln>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600"/>
              <a:t>Start</a:t>
            </a:r>
            <a:r>
              <a:rPr lang="en-US" sz="1600" baseline="0"/>
              <a:t> - up: </a:t>
            </a:r>
            <a:r>
              <a:rPr lang="en-US" sz="1600"/>
              <a:t>FET</a:t>
            </a:r>
            <a:r>
              <a:rPr lang="en-US" sz="1600" baseline="0"/>
              <a:t> Power (</a:t>
            </a:r>
            <a:r>
              <a:rPr lang="en-US" sz="1600" b="1" i="0" u="none" strike="noStrike" baseline="0">
                <a:effectLst/>
              </a:rPr>
              <a:t>V</a:t>
            </a:r>
            <a:r>
              <a:rPr lang="en-US" sz="1600" b="1" i="0" u="none" strike="noStrike" baseline="-25000">
                <a:effectLst/>
              </a:rPr>
              <a:t>IN</a:t>
            </a:r>
            <a:r>
              <a:rPr lang="en-US" sz="1600" b="1" i="0" u="none" strike="noStrike" baseline="0">
                <a:effectLst/>
              </a:rPr>
              <a:t> = </a:t>
            </a:r>
            <a:r>
              <a:rPr lang="en-US" sz="1600" b="1" i="0" baseline="0">
                <a:effectLst/>
              </a:rPr>
              <a:t>V</a:t>
            </a:r>
            <a:r>
              <a:rPr lang="en-US" sz="1600" b="1" i="0" baseline="-25000">
                <a:effectLst/>
              </a:rPr>
              <a:t>INMAX</a:t>
            </a:r>
            <a:r>
              <a:rPr lang="en-US" sz="1600" b="1" i="0" u="none" strike="noStrike" baseline="0">
                <a:effectLst/>
              </a:rPr>
              <a:t>)</a:t>
            </a:r>
            <a:endParaRPr lang="en-US" sz="1600"/>
          </a:p>
        </c:rich>
      </c:tx>
      <c:layout>
        <c:manualLayout>
          <c:xMode val="edge"/>
          <c:yMode val="edge"/>
          <c:x val="0.19627129299304633"/>
          <c:y val="4.7011518577863782E-3"/>
        </c:manualLayout>
      </c:layout>
      <c:overlay val="0"/>
      <c:spPr>
        <a:solidFill>
          <a:schemeClr val="bg1"/>
        </a:solidFill>
      </c:spPr>
    </c:title>
    <c:autoTitleDeleted val="0"/>
    <c:plotArea>
      <c:layout>
        <c:manualLayout>
          <c:layoutTarget val="inner"/>
          <c:xMode val="edge"/>
          <c:yMode val="edge"/>
          <c:x val="0.13897705213713227"/>
          <c:y val="8.0967958803185414E-2"/>
          <c:w val="0.7676811886700865"/>
          <c:h val="0.71875545525738083"/>
        </c:manualLayout>
      </c:layout>
      <c:scatterChart>
        <c:scatterStyle val="lineMarker"/>
        <c:varyColors val="0"/>
        <c:ser>
          <c:idx val="0"/>
          <c:order val="0"/>
          <c:tx>
            <c:v>FET power dissipation</c:v>
          </c:tx>
          <c:marker>
            <c:symbol val="none"/>
          </c:marker>
          <c:xVal>
            <c:numRef>
              <c:f>Start_up!$K$8:$K$115</c:f>
              <c:numCache>
                <c:formatCode>0.00</c:formatCode>
                <c:ptCount val="108"/>
                <c:pt idx="0" formatCode="0.0">
                  <c:v>-1</c:v>
                </c:pt>
                <c:pt idx="1">
                  <c:v>-0.01</c:v>
                </c:pt>
                <c:pt idx="2" formatCode="0.0">
                  <c:v>0</c:v>
                </c:pt>
                <c:pt idx="3" formatCode="0.0">
                  <c:v>3.3653846153846154</c:v>
                </c:pt>
                <c:pt idx="4" formatCode="0.0">
                  <c:v>6.7307692307692308</c:v>
                </c:pt>
                <c:pt idx="5" formatCode="0.0">
                  <c:v>10.096153846153845</c:v>
                </c:pt>
                <c:pt idx="6" formatCode="0.0">
                  <c:v>13.461538461538462</c:v>
                </c:pt>
                <c:pt idx="7" formatCode="0.0">
                  <c:v>16.826923076923077</c:v>
                </c:pt>
                <c:pt idx="8" formatCode="0.0">
                  <c:v>20.19230769230769</c:v>
                </c:pt>
                <c:pt idx="9" formatCode="0.0">
                  <c:v>23.557692307692307</c:v>
                </c:pt>
                <c:pt idx="10" formatCode="0.0">
                  <c:v>26.923076923076923</c:v>
                </c:pt>
                <c:pt idx="11" formatCode="0.0">
                  <c:v>30.288461538461537</c:v>
                </c:pt>
                <c:pt idx="12" formatCode="0.0">
                  <c:v>33.653846153846153</c:v>
                </c:pt>
                <c:pt idx="13" formatCode="0.0">
                  <c:v>37.019230769230766</c:v>
                </c:pt>
                <c:pt idx="14" formatCode="0.0">
                  <c:v>40.38461538461538</c:v>
                </c:pt>
                <c:pt idx="15" formatCode="0.0">
                  <c:v>43.75</c:v>
                </c:pt>
                <c:pt idx="16" formatCode="0.0">
                  <c:v>47.115384615384613</c:v>
                </c:pt>
                <c:pt idx="17" formatCode="0.0">
                  <c:v>50.480769230769226</c:v>
                </c:pt>
                <c:pt idx="18" formatCode="0.0">
                  <c:v>53.846153846153847</c:v>
                </c:pt>
                <c:pt idx="19" formatCode="0.0">
                  <c:v>57.21153846153846</c:v>
                </c:pt>
                <c:pt idx="20" formatCode="0.0">
                  <c:v>60.57692307692308</c:v>
                </c:pt>
                <c:pt idx="21" formatCode="0.0">
                  <c:v>63.942307692307686</c:v>
                </c:pt>
                <c:pt idx="22" formatCode="0.0">
                  <c:v>67.307692307692307</c:v>
                </c:pt>
                <c:pt idx="23" formatCode="0.0">
                  <c:v>70.67307692307692</c:v>
                </c:pt>
                <c:pt idx="24" formatCode="0.0">
                  <c:v>74.038461538461533</c:v>
                </c:pt>
                <c:pt idx="25" formatCode="0.0">
                  <c:v>77.403846153846146</c:v>
                </c:pt>
                <c:pt idx="26" formatCode="0.0">
                  <c:v>80.769230769230759</c:v>
                </c:pt>
                <c:pt idx="27" formatCode="0.0">
                  <c:v>84.134615384615373</c:v>
                </c:pt>
                <c:pt idx="28" formatCode="0.0">
                  <c:v>87.5</c:v>
                </c:pt>
                <c:pt idx="29" formatCode="0.0">
                  <c:v>90.865384615384613</c:v>
                </c:pt>
                <c:pt idx="30" formatCode="0.0">
                  <c:v>94.230769230769226</c:v>
                </c:pt>
                <c:pt idx="31" formatCode="0.0">
                  <c:v>97.59615384615384</c:v>
                </c:pt>
                <c:pt idx="32" formatCode="0.0">
                  <c:v>100.96153846153845</c:v>
                </c:pt>
                <c:pt idx="33" formatCode="0.0">
                  <c:v>104.32692307692308</c:v>
                </c:pt>
                <c:pt idx="34" formatCode="0.0">
                  <c:v>107.69230769230769</c:v>
                </c:pt>
                <c:pt idx="35" formatCode="0.0">
                  <c:v>111.05769230769231</c:v>
                </c:pt>
                <c:pt idx="36" formatCode="0.0">
                  <c:v>114.42307692307692</c:v>
                </c:pt>
                <c:pt idx="37" formatCode="0.0">
                  <c:v>117.78846153846155</c:v>
                </c:pt>
                <c:pt idx="38" formatCode="0.0">
                  <c:v>121.15384615384616</c:v>
                </c:pt>
                <c:pt idx="39" formatCode="0.0">
                  <c:v>124.51923076923077</c:v>
                </c:pt>
                <c:pt idx="40" formatCode="0.0">
                  <c:v>127.88461538461537</c:v>
                </c:pt>
                <c:pt idx="41" formatCode="0.0">
                  <c:v>131.24999999999997</c:v>
                </c:pt>
                <c:pt idx="42" formatCode="0.0">
                  <c:v>134.61538461538458</c:v>
                </c:pt>
                <c:pt idx="43" formatCode="0.0">
                  <c:v>137.9807692307692</c:v>
                </c:pt>
                <c:pt idx="44" formatCode="0.0">
                  <c:v>141.34615384615378</c:v>
                </c:pt>
                <c:pt idx="45" formatCode="0.0">
                  <c:v>144.7115384615384</c:v>
                </c:pt>
                <c:pt idx="46" formatCode="0.0">
                  <c:v>148.07692307692301</c:v>
                </c:pt>
                <c:pt idx="47" formatCode="0.0">
                  <c:v>151.44230769230762</c:v>
                </c:pt>
                <c:pt idx="48" formatCode="0.0">
                  <c:v>154.80769230769224</c:v>
                </c:pt>
                <c:pt idx="49" formatCode="0.0">
                  <c:v>158.17307692307682</c:v>
                </c:pt>
                <c:pt idx="50" formatCode="0.0">
                  <c:v>161.53846153846143</c:v>
                </c:pt>
                <c:pt idx="51" formatCode="0.0">
                  <c:v>164.90384615384608</c:v>
                </c:pt>
                <c:pt idx="52" formatCode="0.0">
                  <c:v>168.26923076923066</c:v>
                </c:pt>
                <c:pt idx="53" formatCode="0.0">
                  <c:v>171.63461538461527</c:v>
                </c:pt>
                <c:pt idx="54" formatCode="0.0">
                  <c:v>174.99999999999991</c:v>
                </c:pt>
                <c:pt idx="55" formatCode="0.0">
                  <c:v>178.3653846153845</c:v>
                </c:pt>
                <c:pt idx="56" formatCode="0.0">
                  <c:v>181.73076923076914</c:v>
                </c:pt>
                <c:pt idx="57" formatCode="0.0">
                  <c:v>185.09615384615375</c:v>
                </c:pt>
                <c:pt idx="58" formatCode="0.0">
                  <c:v>188.46153846153837</c:v>
                </c:pt>
                <c:pt idx="59" formatCode="0.0">
                  <c:v>191.82692307692301</c:v>
                </c:pt>
                <c:pt idx="60" formatCode="0.0">
                  <c:v>195.19230769230762</c:v>
                </c:pt>
                <c:pt idx="61" formatCode="0.0">
                  <c:v>198.55769230769221</c:v>
                </c:pt>
                <c:pt idx="62" formatCode="0.0">
                  <c:v>201.92307692307682</c:v>
                </c:pt>
                <c:pt idx="63" formatCode="0.0">
                  <c:v>205.28846153846143</c:v>
                </c:pt>
                <c:pt idx="64" formatCode="0.0">
                  <c:v>208.65384615384608</c:v>
                </c:pt>
                <c:pt idx="65" formatCode="0.0">
                  <c:v>212.01923076923069</c:v>
                </c:pt>
                <c:pt idx="66" formatCode="0.0">
                  <c:v>215.3846153846153</c:v>
                </c:pt>
                <c:pt idx="67" formatCode="0.0">
                  <c:v>218.74999999999991</c:v>
                </c:pt>
                <c:pt idx="68" formatCode="0.0">
                  <c:v>222.11538461538453</c:v>
                </c:pt>
                <c:pt idx="69" formatCode="0.0">
                  <c:v>225.48076923076914</c:v>
                </c:pt>
                <c:pt idx="70" formatCode="0.0">
                  <c:v>228.84615384615375</c:v>
                </c:pt>
                <c:pt idx="71" formatCode="0.0">
                  <c:v>232.2115384615384</c:v>
                </c:pt>
                <c:pt idx="72" formatCode="0.0">
                  <c:v>235.57692307692301</c:v>
                </c:pt>
                <c:pt idx="73" formatCode="0.0">
                  <c:v>238.94230769230762</c:v>
                </c:pt>
                <c:pt idx="74" formatCode="0.0">
                  <c:v>242.30769230769224</c:v>
                </c:pt>
                <c:pt idx="75" formatCode="0.0">
                  <c:v>245.67307692307682</c:v>
                </c:pt>
                <c:pt idx="76" formatCode="0.0">
                  <c:v>249.03846153846146</c:v>
                </c:pt>
                <c:pt idx="77" formatCode="0.0">
                  <c:v>252.4038461538461</c:v>
                </c:pt>
                <c:pt idx="78" formatCode="0.0">
                  <c:v>255.76923076923069</c:v>
                </c:pt>
                <c:pt idx="79" formatCode="0.0">
                  <c:v>259.13461538461536</c:v>
                </c:pt>
                <c:pt idx="80" formatCode="0.0">
                  <c:v>262.49999999999994</c:v>
                </c:pt>
                <c:pt idx="81" formatCode="0.0">
                  <c:v>265.86538461538458</c:v>
                </c:pt>
                <c:pt idx="82" formatCode="0.0">
                  <c:v>269.23076923076923</c:v>
                </c:pt>
                <c:pt idx="83" formatCode="0.0">
                  <c:v>272.59615384615381</c:v>
                </c:pt>
                <c:pt idx="84" formatCode="0.0">
                  <c:v>275.96153846153845</c:v>
                </c:pt>
                <c:pt idx="85" formatCode="0.0">
                  <c:v>279.32692307692315</c:v>
                </c:pt>
                <c:pt idx="86" formatCode="0.0">
                  <c:v>282.69230769230774</c:v>
                </c:pt>
                <c:pt idx="87" formatCode="0.0">
                  <c:v>286.05769230769232</c:v>
                </c:pt>
                <c:pt idx="88" formatCode="0.0">
                  <c:v>289.42307692307696</c:v>
                </c:pt>
                <c:pt idx="89" formatCode="0.0">
                  <c:v>292.7884615384616</c:v>
                </c:pt>
                <c:pt idx="90" formatCode="0.0">
                  <c:v>296.15384615384625</c:v>
                </c:pt>
                <c:pt idx="91" formatCode="0.0">
                  <c:v>299.51923076923089</c:v>
                </c:pt>
                <c:pt idx="92" formatCode="0.0">
                  <c:v>302.88461538461553</c:v>
                </c:pt>
                <c:pt idx="93" formatCode="0.0">
                  <c:v>306.25000000000011</c:v>
                </c:pt>
                <c:pt idx="94" formatCode="0.0">
                  <c:v>309.61538461538476</c:v>
                </c:pt>
                <c:pt idx="95" formatCode="0.0">
                  <c:v>312.9807692307694</c:v>
                </c:pt>
                <c:pt idx="96" formatCode="0.0">
                  <c:v>316.34615384615398</c:v>
                </c:pt>
                <c:pt idx="97" formatCode="0.0">
                  <c:v>319.71153846153868</c:v>
                </c:pt>
                <c:pt idx="98" formatCode="0.0">
                  <c:v>323.07692307692326</c:v>
                </c:pt>
                <c:pt idx="99" formatCode="0.0">
                  <c:v>326.44230769230785</c:v>
                </c:pt>
                <c:pt idx="100" formatCode="0.0">
                  <c:v>329.80769230769255</c:v>
                </c:pt>
                <c:pt idx="101" formatCode="0.0">
                  <c:v>333.17307692307713</c:v>
                </c:pt>
                <c:pt idx="102" formatCode="0.0">
                  <c:v>336.53846153846172</c:v>
                </c:pt>
                <c:pt idx="103" formatCode="0.0">
                  <c:v>339.90384615384636</c:v>
                </c:pt>
                <c:pt idx="104" formatCode="0.0">
                  <c:v>343.26923076923094</c:v>
                </c:pt>
                <c:pt idx="105" formatCode="0.0">
                  <c:v>346.63461538461559</c:v>
                </c:pt>
                <c:pt idx="106" formatCode="0.0">
                  <c:v>350.00000000000023</c:v>
                </c:pt>
                <c:pt idx="107" formatCode="0.0">
                  <c:v>350.50000000000023</c:v>
                </c:pt>
              </c:numCache>
            </c:numRef>
          </c:xVal>
          <c:yVal>
            <c:numRef>
              <c:f>Start_up!$O$8:$O$115</c:f>
              <c:numCache>
                <c:formatCode>General</c:formatCode>
                <c:ptCount val="108"/>
                <c:pt idx="0">
                  <c:v>0</c:v>
                </c:pt>
                <c:pt idx="1">
                  <c:v>0</c:v>
                </c:pt>
                <c:pt idx="2">
                  <c:v>3080</c:v>
                </c:pt>
                <c:pt idx="3">
                  <c:v>3050.3846153846157</c:v>
                </c:pt>
                <c:pt idx="4">
                  <c:v>3020.7692307692309</c:v>
                </c:pt>
                <c:pt idx="5">
                  <c:v>2991.1538461538457</c:v>
                </c:pt>
                <c:pt idx="6">
                  <c:v>2961.5384615384614</c:v>
                </c:pt>
                <c:pt idx="7">
                  <c:v>2931.9230769230771</c:v>
                </c:pt>
                <c:pt idx="8">
                  <c:v>2902.3076923076924</c:v>
                </c:pt>
                <c:pt idx="9">
                  <c:v>2872.6923076923076</c:v>
                </c:pt>
                <c:pt idx="10">
                  <c:v>2843.0769230769229</c:v>
                </c:pt>
                <c:pt idx="11">
                  <c:v>2813.4615384615386</c:v>
                </c:pt>
                <c:pt idx="12">
                  <c:v>2783.8461538461538</c:v>
                </c:pt>
                <c:pt idx="13">
                  <c:v>2754.2307692307691</c:v>
                </c:pt>
                <c:pt idx="14">
                  <c:v>2724.6153846153843</c:v>
                </c:pt>
                <c:pt idx="15">
                  <c:v>2695</c:v>
                </c:pt>
                <c:pt idx="16">
                  <c:v>2665.3846153846157</c:v>
                </c:pt>
                <c:pt idx="17">
                  <c:v>2635.7692307692309</c:v>
                </c:pt>
                <c:pt idx="18">
                  <c:v>2606.1538461538457</c:v>
                </c:pt>
                <c:pt idx="19">
                  <c:v>2576.5384615384614</c:v>
                </c:pt>
                <c:pt idx="20">
                  <c:v>2546.9230769230771</c:v>
                </c:pt>
                <c:pt idx="21">
                  <c:v>2517.3076923076924</c:v>
                </c:pt>
                <c:pt idx="22">
                  <c:v>2487.6923076923076</c:v>
                </c:pt>
                <c:pt idx="23">
                  <c:v>2458.0769230769229</c:v>
                </c:pt>
                <c:pt idx="24">
                  <c:v>2428.4615384615386</c:v>
                </c:pt>
                <c:pt idx="25">
                  <c:v>2398.8461538461543</c:v>
                </c:pt>
                <c:pt idx="26">
                  <c:v>2369.2307692307691</c:v>
                </c:pt>
                <c:pt idx="27">
                  <c:v>2339.6153846153843</c:v>
                </c:pt>
                <c:pt idx="28">
                  <c:v>2310</c:v>
                </c:pt>
                <c:pt idx="29">
                  <c:v>2280.3846153846157</c:v>
                </c:pt>
                <c:pt idx="30">
                  <c:v>2250.7692307692309</c:v>
                </c:pt>
                <c:pt idx="31">
                  <c:v>2221.1538461538457</c:v>
                </c:pt>
                <c:pt idx="32">
                  <c:v>2191.5384615384614</c:v>
                </c:pt>
                <c:pt idx="33">
                  <c:v>2161.9230769230771</c:v>
                </c:pt>
                <c:pt idx="34">
                  <c:v>2132.3076923076924</c:v>
                </c:pt>
                <c:pt idx="35">
                  <c:v>2102.6923076923076</c:v>
                </c:pt>
                <c:pt idx="36">
                  <c:v>2073.0769230769229</c:v>
                </c:pt>
                <c:pt idx="37">
                  <c:v>2043.4615384615386</c:v>
                </c:pt>
                <c:pt idx="38">
                  <c:v>2013.846153846154</c:v>
                </c:pt>
                <c:pt idx="39">
                  <c:v>1984.2307692307693</c:v>
                </c:pt>
                <c:pt idx="40">
                  <c:v>1954.6153846153845</c:v>
                </c:pt>
                <c:pt idx="41">
                  <c:v>1925</c:v>
                </c:pt>
                <c:pt idx="42">
                  <c:v>1895.3846153846155</c:v>
                </c:pt>
                <c:pt idx="43">
                  <c:v>1865.7692307692307</c:v>
                </c:pt>
                <c:pt idx="44">
                  <c:v>1836.153846153846</c:v>
                </c:pt>
                <c:pt idx="45">
                  <c:v>1806.5384615384614</c:v>
                </c:pt>
                <c:pt idx="46">
                  <c:v>1776.9230769230771</c:v>
                </c:pt>
                <c:pt idx="47">
                  <c:v>1747.3076923076922</c:v>
                </c:pt>
                <c:pt idx="48">
                  <c:v>1717.6923076923078</c:v>
                </c:pt>
                <c:pt idx="49">
                  <c:v>1688.0769230769229</c:v>
                </c:pt>
                <c:pt idx="50">
                  <c:v>1658.4615384615386</c:v>
                </c:pt>
                <c:pt idx="51">
                  <c:v>1628.8461538461538</c:v>
                </c:pt>
                <c:pt idx="52">
                  <c:v>1599.2307692307693</c:v>
                </c:pt>
                <c:pt idx="53">
                  <c:v>1569.6153846153848</c:v>
                </c:pt>
                <c:pt idx="54">
                  <c:v>1540</c:v>
                </c:pt>
                <c:pt idx="55">
                  <c:v>1510.3846153846155</c:v>
                </c:pt>
                <c:pt idx="56">
                  <c:v>1480.7692307692307</c:v>
                </c:pt>
                <c:pt idx="57">
                  <c:v>1451.1538461538462</c:v>
                </c:pt>
                <c:pt idx="58">
                  <c:v>1421.5384615384614</c:v>
                </c:pt>
                <c:pt idx="59">
                  <c:v>1391.9230769230767</c:v>
                </c:pt>
                <c:pt idx="60">
                  <c:v>1362.3076923076922</c:v>
                </c:pt>
                <c:pt idx="61">
                  <c:v>1332.6923076923078</c:v>
                </c:pt>
                <c:pt idx="62">
                  <c:v>1599.2307692307695</c:v>
                </c:pt>
                <c:pt idx="63">
                  <c:v>1562.8846153846155</c:v>
                </c:pt>
                <c:pt idx="64">
                  <c:v>1526.5384615384614</c:v>
                </c:pt>
                <c:pt idx="65">
                  <c:v>1490.1923076923076</c:v>
                </c:pt>
                <c:pt idx="66">
                  <c:v>1453.8461538461536</c:v>
                </c:pt>
                <c:pt idx="67">
                  <c:v>1417.5</c:v>
                </c:pt>
                <c:pt idx="68">
                  <c:v>1381.1538461538464</c:v>
                </c:pt>
                <c:pt idx="69">
                  <c:v>1344.8076923076924</c:v>
                </c:pt>
                <c:pt idx="70">
                  <c:v>1308.4615384615386</c:v>
                </c:pt>
                <c:pt idx="71">
                  <c:v>1272.1153846153845</c:v>
                </c:pt>
                <c:pt idx="72">
                  <c:v>1235.7692307692305</c:v>
                </c:pt>
                <c:pt idx="73">
                  <c:v>1199.4230769230769</c:v>
                </c:pt>
                <c:pt idx="74">
                  <c:v>1163.0769230769231</c:v>
                </c:pt>
                <c:pt idx="75">
                  <c:v>1126.7307692307695</c:v>
                </c:pt>
                <c:pt idx="76">
                  <c:v>1090.3846153846155</c:v>
                </c:pt>
                <c:pt idx="77">
                  <c:v>1054.0384615384614</c:v>
                </c:pt>
                <c:pt idx="78">
                  <c:v>1017.6923076923077</c:v>
                </c:pt>
                <c:pt idx="79">
                  <c:v>981.3461538461537</c:v>
                </c:pt>
                <c:pt idx="80">
                  <c:v>945</c:v>
                </c:pt>
                <c:pt idx="81">
                  <c:v>908.6538461538463</c:v>
                </c:pt>
                <c:pt idx="82">
                  <c:v>872.30769230769226</c:v>
                </c:pt>
                <c:pt idx="83">
                  <c:v>835.96153846153857</c:v>
                </c:pt>
                <c:pt idx="84">
                  <c:v>799.61538461538453</c:v>
                </c:pt>
                <c:pt idx="85">
                  <c:v>763.26923076923049</c:v>
                </c:pt>
                <c:pt idx="86">
                  <c:v>726.92307692307679</c:v>
                </c:pt>
                <c:pt idx="87">
                  <c:v>690.57692307692321</c:v>
                </c:pt>
                <c:pt idx="88">
                  <c:v>654.23076923076951</c:v>
                </c:pt>
                <c:pt idx="89">
                  <c:v>617.88461538461547</c:v>
                </c:pt>
                <c:pt idx="90">
                  <c:v>581.53846153846143</c:v>
                </c:pt>
                <c:pt idx="91">
                  <c:v>545.19230769230774</c:v>
                </c:pt>
                <c:pt idx="92">
                  <c:v>508.8461538461537</c:v>
                </c:pt>
                <c:pt idx="93">
                  <c:v>472.5</c:v>
                </c:pt>
                <c:pt idx="94">
                  <c:v>436.1538461538463</c:v>
                </c:pt>
                <c:pt idx="95">
                  <c:v>399.80769230769226</c:v>
                </c:pt>
                <c:pt idx="96">
                  <c:v>363.46153846153862</c:v>
                </c:pt>
                <c:pt idx="97">
                  <c:v>327.11538461538453</c:v>
                </c:pt>
                <c:pt idx="98">
                  <c:v>290.76923076923089</c:v>
                </c:pt>
                <c:pt idx="99">
                  <c:v>254.42307692307722</c:v>
                </c:pt>
                <c:pt idx="100">
                  <c:v>218.07692307692278</c:v>
                </c:pt>
                <c:pt idx="101">
                  <c:v>181.73076923076911</c:v>
                </c:pt>
                <c:pt idx="102">
                  <c:v>145.38461538461544</c:v>
                </c:pt>
                <c:pt idx="103">
                  <c:v>109.03846153846177</c:v>
                </c:pt>
                <c:pt idx="104">
                  <c:v>72.692307692308106</c:v>
                </c:pt>
                <c:pt idx="105">
                  <c:v>36.346153846153669</c:v>
                </c:pt>
                <c:pt idx="106">
                  <c:v>0</c:v>
                </c:pt>
                <c:pt idx="107">
                  <c:v>0</c:v>
                </c:pt>
              </c:numCache>
            </c:numRef>
          </c:yVal>
          <c:smooth val="0"/>
          <c:extLst>
            <c:ext xmlns:c16="http://schemas.microsoft.com/office/drawing/2014/chart" uri="{C3380CC4-5D6E-409C-BE32-E72D297353CC}">
              <c16:uniqueId val="{00000000-1DB0-4ACD-B2E7-9D98E4999E6E}"/>
            </c:ext>
          </c:extLst>
        </c:ser>
        <c:dLbls>
          <c:showLegendKey val="0"/>
          <c:showVal val="0"/>
          <c:showCatName val="0"/>
          <c:showSerName val="0"/>
          <c:showPercent val="0"/>
          <c:showBubbleSize val="0"/>
        </c:dLbls>
        <c:axId val="97639040"/>
        <c:axId val="97760000"/>
      </c:scatterChart>
      <c:valAx>
        <c:axId val="97639040"/>
        <c:scaling>
          <c:orientation val="minMax"/>
          <c:min val="-1"/>
        </c:scaling>
        <c:delete val="0"/>
        <c:axPos val="b"/>
        <c:minorGridlines/>
        <c:title>
          <c:tx>
            <c:rich>
              <a:bodyPr/>
              <a:lstStyle/>
              <a:p>
                <a:pPr>
                  <a:defRPr/>
                </a:pPr>
                <a:r>
                  <a:rPr lang="en-US"/>
                  <a:t>Time (ms)</a:t>
                </a:r>
              </a:p>
            </c:rich>
          </c:tx>
          <c:layout>
            <c:manualLayout>
              <c:xMode val="edge"/>
              <c:yMode val="edge"/>
              <c:x val="0.44799096768442925"/>
              <c:y val="0.90583847854517363"/>
            </c:manualLayout>
          </c:layout>
          <c:overlay val="0"/>
        </c:title>
        <c:numFmt formatCode="0.0" sourceLinked="1"/>
        <c:majorTickMark val="out"/>
        <c:minorTickMark val="none"/>
        <c:tickLblPos val="nextTo"/>
        <c:txPr>
          <a:bodyPr/>
          <a:lstStyle/>
          <a:p>
            <a:pPr>
              <a:defRPr b="1"/>
            </a:pPr>
            <a:endParaRPr lang="en-US"/>
          </a:p>
        </c:txPr>
        <c:crossAx val="97760000"/>
        <c:crosses val="autoZero"/>
        <c:crossBetween val="midCat"/>
      </c:valAx>
      <c:valAx>
        <c:axId val="97760000"/>
        <c:scaling>
          <c:orientation val="minMax"/>
          <c:min val="0"/>
        </c:scaling>
        <c:delete val="0"/>
        <c:axPos val="l"/>
        <c:majorGridlines/>
        <c:minorGridlines/>
        <c:title>
          <c:tx>
            <c:rich>
              <a:bodyPr rot="-5400000" vert="horz"/>
              <a:lstStyle/>
              <a:p>
                <a:pPr>
                  <a:defRPr/>
                </a:pPr>
                <a:r>
                  <a:rPr lang="en-US"/>
                  <a:t>FET Power (W)</a:t>
                </a:r>
              </a:p>
            </c:rich>
          </c:tx>
          <c:layout>
            <c:manualLayout>
              <c:xMode val="edge"/>
              <c:yMode val="edge"/>
              <c:x val="1.2836103229293341E-2"/>
              <c:y val="0.25775146359374557"/>
            </c:manualLayout>
          </c:layout>
          <c:overlay val="0"/>
        </c:title>
        <c:numFmt formatCode="General" sourceLinked="1"/>
        <c:majorTickMark val="out"/>
        <c:minorTickMark val="none"/>
        <c:tickLblPos val="nextTo"/>
        <c:txPr>
          <a:bodyPr/>
          <a:lstStyle/>
          <a:p>
            <a:pPr>
              <a:defRPr b="1"/>
            </a:pPr>
            <a:endParaRPr lang="en-US"/>
          </a:p>
        </c:txPr>
        <c:crossAx val="97639040"/>
        <c:crossesAt val="-1"/>
        <c:crossBetween val="midCat"/>
      </c:valAx>
    </c:plotArea>
    <c:legend>
      <c:legendPos val="r"/>
      <c:layout>
        <c:manualLayout>
          <c:xMode val="edge"/>
          <c:yMode val="edge"/>
          <c:x val="0.60142685418076891"/>
          <c:y val="0.20767295705890407"/>
          <c:w val="0.39515213037394709"/>
          <c:h val="0.10848830734152082"/>
        </c:manualLayout>
      </c:layout>
      <c:overlay val="0"/>
      <c:spPr>
        <a:solidFill>
          <a:schemeClr val="bg1"/>
        </a:solidFill>
        <a:ln>
          <a:solidFill>
            <a:schemeClr val="tx1"/>
          </a:solidFill>
        </a:ln>
      </c:sp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Load and FET</a:t>
            </a:r>
            <a:r>
              <a:rPr lang="en-US" baseline="0"/>
              <a:t> current vs Vout</a:t>
            </a:r>
            <a:endParaRPr lang="en-US"/>
          </a:p>
        </c:rich>
      </c:tx>
      <c:overlay val="1"/>
    </c:title>
    <c:autoTitleDeleted val="0"/>
    <c:plotArea>
      <c:layout>
        <c:manualLayout>
          <c:layoutTarget val="inner"/>
          <c:xMode val="edge"/>
          <c:yMode val="edge"/>
          <c:x val="0.20280211116986058"/>
          <c:y val="0.14177960397727438"/>
          <c:w val="0.69967132057676096"/>
          <c:h val="0.7119118368882501"/>
        </c:manualLayout>
      </c:layout>
      <c:scatterChart>
        <c:scatterStyle val="smoothMarker"/>
        <c:varyColors val="0"/>
        <c:ser>
          <c:idx val="0"/>
          <c:order val="0"/>
          <c:tx>
            <c:strRef>
              <c:f>Start_up!$C$7</c:f>
              <c:strCache>
                <c:ptCount val="1"/>
                <c:pt idx="0">
                  <c:v>ILOAD</c:v>
                </c:pt>
              </c:strCache>
            </c:strRef>
          </c:tx>
          <c:marker>
            <c:symbol val="none"/>
          </c:marker>
          <c:xVal>
            <c:numRef>
              <c:f>Start_up!$B$10:$B$111</c:f>
              <c:numCache>
                <c:formatCode>0.00</c:formatCode>
                <c:ptCount val="102"/>
                <c:pt idx="0">
                  <c:v>0</c:v>
                </c:pt>
                <c:pt idx="1">
                  <c:v>0.67307692307692313</c:v>
                </c:pt>
                <c:pt idx="2">
                  <c:v>1.3461538461538463</c:v>
                </c:pt>
                <c:pt idx="3">
                  <c:v>2.0192307692307692</c:v>
                </c:pt>
                <c:pt idx="4">
                  <c:v>2.6923076923076925</c:v>
                </c:pt>
                <c:pt idx="5">
                  <c:v>3.3653846153846154</c:v>
                </c:pt>
                <c:pt idx="6">
                  <c:v>4.0384615384615383</c:v>
                </c:pt>
                <c:pt idx="7">
                  <c:v>4.7115384615384617</c:v>
                </c:pt>
                <c:pt idx="8">
                  <c:v>5.384615384615385</c:v>
                </c:pt>
                <c:pt idx="9">
                  <c:v>6.0576923076923075</c:v>
                </c:pt>
                <c:pt idx="10">
                  <c:v>6.7307692307692308</c:v>
                </c:pt>
                <c:pt idx="11">
                  <c:v>7.4038461538461542</c:v>
                </c:pt>
                <c:pt idx="12">
                  <c:v>8.0769230769230766</c:v>
                </c:pt>
                <c:pt idx="13">
                  <c:v>8.75</c:v>
                </c:pt>
                <c:pt idx="14">
                  <c:v>9.4230769230769234</c:v>
                </c:pt>
                <c:pt idx="15">
                  <c:v>10.096153846153845</c:v>
                </c:pt>
                <c:pt idx="16">
                  <c:v>10.76923076923077</c:v>
                </c:pt>
                <c:pt idx="17">
                  <c:v>11.442307692307692</c:v>
                </c:pt>
                <c:pt idx="18">
                  <c:v>12.115384615384615</c:v>
                </c:pt>
                <c:pt idx="19">
                  <c:v>12.788461538461538</c:v>
                </c:pt>
                <c:pt idx="20">
                  <c:v>13.461538461538462</c:v>
                </c:pt>
                <c:pt idx="21">
                  <c:v>14.134615384615385</c:v>
                </c:pt>
                <c:pt idx="22">
                  <c:v>14.807692307692308</c:v>
                </c:pt>
                <c:pt idx="23">
                  <c:v>15.48076923076923</c:v>
                </c:pt>
                <c:pt idx="24">
                  <c:v>16.153846153846153</c:v>
                </c:pt>
                <c:pt idx="25">
                  <c:v>16.826923076923077</c:v>
                </c:pt>
                <c:pt idx="26">
                  <c:v>17.5</c:v>
                </c:pt>
                <c:pt idx="27">
                  <c:v>18.173076923076923</c:v>
                </c:pt>
                <c:pt idx="28">
                  <c:v>18.846153846153847</c:v>
                </c:pt>
                <c:pt idx="29">
                  <c:v>19.51923076923077</c:v>
                </c:pt>
                <c:pt idx="30">
                  <c:v>20.19230769230769</c:v>
                </c:pt>
                <c:pt idx="31">
                  <c:v>20.865384615384617</c:v>
                </c:pt>
                <c:pt idx="32">
                  <c:v>21.53846153846154</c:v>
                </c:pt>
                <c:pt idx="33">
                  <c:v>22.21153846153846</c:v>
                </c:pt>
                <c:pt idx="34">
                  <c:v>22.884615384615383</c:v>
                </c:pt>
                <c:pt idx="35">
                  <c:v>23.55769230769231</c:v>
                </c:pt>
                <c:pt idx="36">
                  <c:v>24.23076923076923</c:v>
                </c:pt>
                <c:pt idx="37">
                  <c:v>24.903846153846153</c:v>
                </c:pt>
                <c:pt idx="38">
                  <c:v>25.576923076923077</c:v>
                </c:pt>
                <c:pt idx="39">
                  <c:v>26.25</c:v>
                </c:pt>
                <c:pt idx="40">
                  <c:v>26.923076923076923</c:v>
                </c:pt>
                <c:pt idx="41">
                  <c:v>27.596153846153847</c:v>
                </c:pt>
                <c:pt idx="42">
                  <c:v>28.26923076923077</c:v>
                </c:pt>
                <c:pt idx="43">
                  <c:v>28.94230769230769</c:v>
                </c:pt>
                <c:pt idx="44">
                  <c:v>29.615384615384617</c:v>
                </c:pt>
                <c:pt idx="45">
                  <c:v>30.28846153846154</c:v>
                </c:pt>
                <c:pt idx="46">
                  <c:v>30.96153846153846</c:v>
                </c:pt>
                <c:pt idx="47">
                  <c:v>31.634615384615383</c:v>
                </c:pt>
                <c:pt idx="48">
                  <c:v>32.307692307692307</c:v>
                </c:pt>
                <c:pt idx="49">
                  <c:v>32.980769230769234</c:v>
                </c:pt>
                <c:pt idx="50">
                  <c:v>33.653846153846153</c:v>
                </c:pt>
                <c:pt idx="51">
                  <c:v>34.326923076923073</c:v>
                </c:pt>
                <c:pt idx="52">
                  <c:v>35</c:v>
                </c:pt>
                <c:pt idx="53">
                  <c:v>35.67307692307692</c:v>
                </c:pt>
                <c:pt idx="54">
                  <c:v>36.346153846153847</c:v>
                </c:pt>
                <c:pt idx="55">
                  <c:v>37.019230769230766</c:v>
                </c:pt>
                <c:pt idx="56">
                  <c:v>37.692307692307693</c:v>
                </c:pt>
                <c:pt idx="57">
                  <c:v>38.36538461538462</c:v>
                </c:pt>
                <c:pt idx="58">
                  <c:v>39.03846153846154</c:v>
                </c:pt>
                <c:pt idx="59">
                  <c:v>39.71153846153846</c:v>
                </c:pt>
                <c:pt idx="60">
                  <c:v>40.38461538461538</c:v>
                </c:pt>
                <c:pt idx="61">
                  <c:v>41.057692307692307</c:v>
                </c:pt>
                <c:pt idx="62">
                  <c:v>41.730769230769234</c:v>
                </c:pt>
                <c:pt idx="63">
                  <c:v>42.403846153846153</c:v>
                </c:pt>
                <c:pt idx="64">
                  <c:v>43.07692307692308</c:v>
                </c:pt>
                <c:pt idx="65">
                  <c:v>43.75</c:v>
                </c:pt>
                <c:pt idx="66">
                  <c:v>44.42307692307692</c:v>
                </c:pt>
                <c:pt idx="67">
                  <c:v>45.096153846153847</c:v>
                </c:pt>
                <c:pt idx="68">
                  <c:v>45.769230769230766</c:v>
                </c:pt>
                <c:pt idx="69">
                  <c:v>46.442307692307693</c:v>
                </c:pt>
                <c:pt idx="70">
                  <c:v>47.11538461538462</c:v>
                </c:pt>
                <c:pt idx="71">
                  <c:v>47.78846153846154</c:v>
                </c:pt>
                <c:pt idx="72">
                  <c:v>48.46153846153846</c:v>
                </c:pt>
                <c:pt idx="73">
                  <c:v>49.13461538461538</c:v>
                </c:pt>
                <c:pt idx="74">
                  <c:v>49.807692307692307</c:v>
                </c:pt>
                <c:pt idx="75">
                  <c:v>50.480769230769234</c:v>
                </c:pt>
                <c:pt idx="76">
                  <c:v>51.153846153846153</c:v>
                </c:pt>
                <c:pt idx="77">
                  <c:v>51.82692307692308</c:v>
                </c:pt>
                <c:pt idx="78">
                  <c:v>52.5</c:v>
                </c:pt>
                <c:pt idx="79">
                  <c:v>53.17307692307692</c:v>
                </c:pt>
                <c:pt idx="80">
                  <c:v>53.846153846153847</c:v>
                </c:pt>
                <c:pt idx="81">
                  <c:v>54.519230769230766</c:v>
                </c:pt>
                <c:pt idx="82">
                  <c:v>55.192307692307693</c:v>
                </c:pt>
                <c:pt idx="83">
                  <c:v>55.86538461538462</c:v>
                </c:pt>
                <c:pt idx="84">
                  <c:v>56.53846153846154</c:v>
                </c:pt>
                <c:pt idx="85">
                  <c:v>57.21153846153846</c:v>
                </c:pt>
                <c:pt idx="86">
                  <c:v>57.88461538461538</c:v>
                </c:pt>
                <c:pt idx="87">
                  <c:v>58.557692307692307</c:v>
                </c:pt>
                <c:pt idx="88">
                  <c:v>59.230769230769234</c:v>
                </c:pt>
                <c:pt idx="89">
                  <c:v>59.903846153846153</c:v>
                </c:pt>
                <c:pt idx="90">
                  <c:v>60.57692307692308</c:v>
                </c:pt>
                <c:pt idx="91">
                  <c:v>61.25</c:v>
                </c:pt>
                <c:pt idx="92">
                  <c:v>61.92307692307692</c:v>
                </c:pt>
                <c:pt idx="93">
                  <c:v>62.596153846153847</c:v>
                </c:pt>
                <c:pt idx="94">
                  <c:v>63.269230769230766</c:v>
                </c:pt>
                <c:pt idx="95">
                  <c:v>63.942307692307693</c:v>
                </c:pt>
                <c:pt idx="96">
                  <c:v>64.615384615384613</c:v>
                </c:pt>
                <c:pt idx="97">
                  <c:v>65.288461538461533</c:v>
                </c:pt>
                <c:pt idx="98">
                  <c:v>65.961538461538467</c:v>
                </c:pt>
                <c:pt idx="99">
                  <c:v>66.634615384615387</c:v>
                </c:pt>
                <c:pt idx="100">
                  <c:v>67.307692307692307</c:v>
                </c:pt>
                <c:pt idx="101">
                  <c:v>67.980769230769226</c:v>
                </c:pt>
              </c:numCache>
            </c:numRef>
          </c:xVal>
          <c:yVal>
            <c:numRef>
              <c:f>Start_up!$C$10:$C$111</c:f>
              <c:numCache>
                <c:formatCode>0.000</c:formatCode>
                <c:ptCount val="10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numCache>
            </c:numRef>
          </c:yVal>
          <c:smooth val="1"/>
          <c:extLst>
            <c:ext xmlns:c16="http://schemas.microsoft.com/office/drawing/2014/chart" uri="{C3380CC4-5D6E-409C-BE32-E72D297353CC}">
              <c16:uniqueId val="{00000000-1138-4F8B-BC2F-AF9F2782E794}"/>
            </c:ext>
          </c:extLst>
        </c:ser>
        <c:ser>
          <c:idx val="1"/>
          <c:order val="1"/>
          <c:tx>
            <c:strRef>
              <c:f>Start_up!$G$7</c:f>
              <c:strCache>
                <c:ptCount val="1"/>
                <c:pt idx="0">
                  <c:v>IFET</c:v>
                </c:pt>
              </c:strCache>
            </c:strRef>
          </c:tx>
          <c:marker>
            <c:symbol val="none"/>
          </c:marker>
          <c:xVal>
            <c:numRef>
              <c:f>Start_up!$B$10:$B$111</c:f>
              <c:numCache>
                <c:formatCode>0.00</c:formatCode>
                <c:ptCount val="102"/>
                <c:pt idx="0">
                  <c:v>0</c:v>
                </c:pt>
                <c:pt idx="1">
                  <c:v>0.67307692307692313</c:v>
                </c:pt>
                <c:pt idx="2">
                  <c:v>1.3461538461538463</c:v>
                </c:pt>
                <c:pt idx="3">
                  <c:v>2.0192307692307692</c:v>
                </c:pt>
                <c:pt idx="4">
                  <c:v>2.6923076923076925</c:v>
                </c:pt>
                <c:pt idx="5">
                  <c:v>3.3653846153846154</c:v>
                </c:pt>
                <c:pt idx="6">
                  <c:v>4.0384615384615383</c:v>
                </c:pt>
                <c:pt idx="7">
                  <c:v>4.7115384615384617</c:v>
                </c:pt>
                <c:pt idx="8">
                  <c:v>5.384615384615385</c:v>
                </c:pt>
                <c:pt idx="9">
                  <c:v>6.0576923076923075</c:v>
                </c:pt>
                <c:pt idx="10">
                  <c:v>6.7307692307692308</c:v>
                </c:pt>
                <c:pt idx="11">
                  <c:v>7.4038461538461542</c:v>
                </c:pt>
                <c:pt idx="12">
                  <c:v>8.0769230769230766</c:v>
                </c:pt>
                <c:pt idx="13">
                  <c:v>8.75</c:v>
                </c:pt>
                <c:pt idx="14">
                  <c:v>9.4230769230769234</c:v>
                </c:pt>
                <c:pt idx="15">
                  <c:v>10.096153846153845</c:v>
                </c:pt>
                <c:pt idx="16">
                  <c:v>10.76923076923077</c:v>
                </c:pt>
                <c:pt idx="17">
                  <c:v>11.442307692307692</c:v>
                </c:pt>
                <c:pt idx="18">
                  <c:v>12.115384615384615</c:v>
                </c:pt>
                <c:pt idx="19">
                  <c:v>12.788461538461538</c:v>
                </c:pt>
                <c:pt idx="20">
                  <c:v>13.461538461538462</c:v>
                </c:pt>
                <c:pt idx="21">
                  <c:v>14.134615384615385</c:v>
                </c:pt>
                <c:pt idx="22">
                  <c:v>14.807692307692308</c:v>
                </c:pt>
                <c:pt idx="23">
                  <c:v>15.48076923076923</c:v>
                </c:pt>
                <c:pt idx="24">
                  <c:v>16.153846153846153</c:v>
                </c:pt>
                <c:pt idx="25">
                  <c:v>16.826923076923077</c:v>
                </c:pt>
                <c:pt idx="26">
                  <c:v>17.5</c:v>
                </c:pt>
                <c:pt idx="27">
                  <c:v>18.173076923076923</c:v>
                </c:pt>
                <c:pt idx="28">
                  <c:v>18.846153846153847</c:v>
                </c:pt>
                <c:pt idx="29">
                  <c:v>19.51923076923077</c:v>
                </c:pt>
                <c:pt idx="30">
                  <c:v>20.19230769230769</c:v>
                </c:pt>
                <c:pt idx="31">
                  <c:v>20.865384615384617</c:v>
                </c:pt>
                <c:pt idx="32">
                  <c:v>21.53846153846154</c:v>
                </c:pt>
                <c:pt idx="33">
                  <c:v>22.21153846153846</c:v>
                </c:pt>
                <c:pt idx="34">
                  <c:v>22.884615384615383</c:v>
                </c:pt>
                <c:pt idx="35">
                  <c:v>23.55769230769231</c:v>
                </c:pt>
                <c:pt idx="36">
                  <c:v>24.23076923076923</c:v>
                </c:pt>
                <c:pt idx="37">
                  <c:v>24.903846153846153</c:v>
                </c:pt>
                <c:pt idx="38">
                  <c:v>25.576923076923077</c:v>
                </c:pt>
                <c:pt idx="39">
                  <c:v>26.25</c:v>
                </c:pt>
                <c:pt idx="40">
                  <c:v>26.923076923076923</c:v>
                </c:pt>
                <c:pt idx="41">
                  <c:v>27.596153846153847</c:v>
                </c:pt>
                <c:pt idx="42">
                  <c:v>28.26923076923077</c:v>
                </c:pt>
                <c:pt idx="43">
                  <c:v>28.94230769230769</c:v>
                </c:pt>
                <c:pt idx="44">
                  <c:v>29.615384615384617</c:v>
                </c:pt>
                <c:pt idx="45">
                  <c:v>30.28846153846154</c:v>
                </c:pt>
                <c:pt idx="46">
                  <c:v>30.96153846153846</c:v>
                </c:pt>
                <c:pt idx="47">
                  <c:v>31.634615384615383</c:v>
                </c:pt>
                <c:pt idx="48">
                  <c:v>32.307692307692307</c:v>
                </c:pt>
                <c:pt idx="49">
                  <c:v>32.980769230769234</c:v>
                </c:pt>
                <c:pt idx="50">
                  <c:v>33.653846153846153</c:v>
                </c:pt>
                <c:pt idx="51">
                  <c:v>34.326923076923073</c:v>
                </c:pt>
                <c:pt idx="52">
                  <c:v>35</c:v>
                </c:pt>
                <c:pt idx="53">
                  <c:v>35.67307692307692</c:v>
                </c:pt>
                <c:pt idx="54">
                  <c:v>36.346153846153847</c:v>
                </c:pt>
                <c:pt idx="55">
                  <c:v>37.019230769230766</c:v>
                </c:pt>
                <c:pt idx="56">
                  <c:v>37.692307692307693</c:v>
                </c:pt>
                <c:pt idx="57">
                  <c:v>38.36538461538462</c:v>
                </c:pt>
                <c:pt idx="58">
                  <c:v>39.03846153846154</c:v>
                </c:pt>
                <c:pt idx="59">
                  <c:v>39.71153846153846</c:v>
                </c:pt>
                <c:pt idx="60">
                  <c:v>40.38461538461538</c:v>
                </c:pt>
                <c:pt idx="61">
                  <c:v>41.057692307692307</c:v>
                </c:pt>
                <c:pt idx="62">
                  <c:v>41.730769230769234</c:v>
                </c:pt>
                <c:pt idx="63">
                  <c:v>42.403846153846153</c:v>
                </c:pt>
                <c:pt idx="64">
                  <c:v>43.07692307692308</c:v>
                </c:pt>
                <c:pt idx="65">
                  <c:v>43.75</c:v>
                </c:pt>
                <c:pt idx="66">
                  <c:v>44.42307692307692</c:v>
                </c:pt>
                <c:pt idx="67">
                  <c:v>45.096153846153847</c:v>
                </c:pt>
                <c:pt idx="68">
                  <c:v>45.769230769230766</c:v>
                </c:pt>
                <c:pt idx="69">
                  <c:v>46.442307692307693</c:v>
                </c:pt>
                <c:pt idx="70">
                  <c:v>47.11538461538462</c:v>
                </c:pt>
                <c:pt idx="71">
                  <c:v>47.78846153846154</c:v>
                </c:pt>
                <c:pt idx="72">
                  <c:v>48.46153846153846</c:v>
                </c:pt>
                <c:pt idx="73">
                  <c:v>49.13461538461538</c:v>
                </c:pt>
                <c:pt idx="74">
                  <c:v>49.807692307692307</c:v>
                </c:pt>
                <c:pt idx="75">
                  <c:v>50.480769230769234</c:v>
                </c:pt>
                <c:pt idx="76">
                  <c:v>51.153846153846153</c:v>
                </c:pt>
                <c:pt idx="77">
                  <c:v>51.82692307692308</c:v>
                </c:pt>
                <c:pt idx="78">
                  <c:v>52.5</c:v>
                </c:pt>
                <c:pt idx="79">
                  <c:v>53.17307692307692</c:v>
                </c:pt>
                <c:pt idx="80">
                  <c:v>53.846153846153847</c:v>
                </c:pt>
                <c:pt idx="81">
                  <c:v>54.519230769230766</c:v>
                </c:pt>
                <c:pt idx="82">
                  <c:v>55.192307692307693</c:v>
                </c:pt>
                <c:pt idx="83">
                  <c:v>55.86538461538462</c:v>
                </c:pt>
                <c:pt idx="84">
                  <c:v>56.53846153846154</c:v>
                </c:pt>
                <c:pt idx="85">
                  <c:v>57.21153846153846</c:v>
                </c:pt>
                <c:pt idx="86">
                  <c:v>57.88461538461538</c:v>
                </c:pt>
                <c:pt idx="87">
                  <c:v>58.557692307692307</c:v>
                </c:pt>
                <c:pt idx="88">
                  <c:v>59.230769230769234</c:v>
                </c:pt>
                <c:pt idx="89">
                  <c:v>59.903846153846153</c:v>
                </c:pt>
                <c:pt idx="90">
                  <c:v>60.57692307692308</c:v>
                </c:pt>
                <c:pt idx="91">
                  <c:v>61.25</c:v>
                </c:pt>
                <c:pt idx="92">
                  <c:v>61.92307692307692</c:v>
                </c:pt>
                <c:pt idx="93">
                  <c:v>62.596153846153847</c:v>
                </c:pt>
                <c:pt idx="94">
                  <c:v>63.269230769230766</c:v>
                </c:pt>
                <c:pt idx="95">
                  <c:v>63.942307692307693</c:v>
                </c:pt>
                <c:pt idx="96">
                  <c:v>64.615384615384613</c:v>
                </c:pt>
                <c:pt idx="97">
                  <c:v>65.288461538461533</c:v>
                </c:pt>
                <c:pt idx="98">
                  <c:v>65.961538461538467</c:v>
                </c:pt>
                <c:pt idx="99">
                  <c:v>66.634615384615387</c:v>
                </c:pt>
                <c:pt idx="100">
                  <c:v>67.307692307692307</c:v>
                </c:pt>
                <c:pt idx="101">
                  <c:v>67.980769230769226</c:v>
                </c:pt>
              </c:numCache>
            </c:numRef>
          </c:xVal>
          <c:yVal>
            <c:numRef>
              <c:f>Start_up!$G$10:$G$112</c:f>
              <c:numCache>
                <c:formatCode>General</c:formatCode>
                <c:ptCount val="103"/>
                <c:pt idx="0">
                  <c:v>44</c:v>
                </c:pt>
                <c:pt idx="1">
                  <c:v>44</c:v>
                </c:pt>
                <c:pt idx="2">
                  <c:v>44</c:v>
                </c:pt>
                <c:pt idx="3">
                  <c:v>44</c:v>
                </c:pt>
                <c:pt idx="4">
                  <c:v>44</c:v>
                </c:pt>
                <c:pt idx="5">
                  <c:v>44</c:v>
                </c:pt>
                <c:pt idx="6">
                  <c:v>44</c:v>
                </c:pt>
                <c:pt idx="7">
                  <c:v>44</c:v>
                </c:pt>
                <c:pt idx="8">
                  <c:v>44</c:v>
                </c:pt>
                <c:pt idx="9">
                  <c:v>44</c:v>
                </c:pt>
                <c:pt idx="10">
                  <c:v>44</c:v>
                </c:pt>
                <c:pt idx="11">
                  <c:v>44</c:v>
                </c:pt>
                <c:pt idx="12">
                  <c:v>44</c:v>
                </c:pt>
                <c:pt idx="13">
                  <c:v>44</c:v>
                </c:pt>
                <c:pt idx="14">
                  <c:v>44</c:v>
                </c:pt>
                <c:pt idx="15">
                  <c:v>44</c:v>
                </c:pt>
                <c:pt idx="16">
                  <c:v>44</c:v>
                </c:pt>
                <c:pt idx="17">
                  <c:v>44</c:v>
                </c:pt>
                <c:pt idx="18">
                  <c:v>44</c:v>
                </c:pt>
                <c:pt idx="19">
                  <c:v>44</c:v>
                </c:pt>
                <c:pt idx="20">
                  <c:v>44</c:v>
                </c:pt>
                <c:pt idx="21">
                  <c:v>44</c:v>
                </c:pt>
                <c:pt idx="22">
                  <c:v>44</c:v>
                </c:pt>
                <c:pt idx="23">
                  <c:v>44</c:v>
                </c:pt>
                <c:pt idx="24">
                  <c:v>44</c:v>
                </c:pt>
                <c:pt idx="25">
                  <c:v>44</c:v>
                </c:pt>
                <c:pt idx="26">
                  <c:v>44</c:v>
                </c:pt>
                <c:pt idx="27">
                  <c:v>44</c:v>
                </c:pt>
                <c:pt idx="28">
                  <c:v>44</c:v>
                </c:pt>
                <c:pt idx="29">
                  <c:v>44</c:v>
                </c:pt>
                <c:pt idx="30">
                  <c:v>44</c:v>
                </c:pt>
                <c:pt idx="31">
                  <c:v>44</c:v>
                </c:pt>
                <c:pt idx="32">
                  <c:v>44</c:v>
                </c:pt>
                <c:pt idx="33">
                  <c:v>44</c:v>
                </c:pt>
                <c:pt idx="34">
                  <c:v>44</c:v>
                </c:pt>
                <c:pt idx="35">
                  <c:v>44</c:v>
                </c:pt>
                <c:pt idx="36">
                  <c:v>44</c:v>
                </c:pt>
                <c:pt idx="37">
                  <c:v>44</c:v>
                </c:pt>
                <c:pt idx="38">
                  <c:v>44</c:v>
                </c:pt>
                <c:pt idx="39">
                  <c:v>44</c:v>
                </c:pt>
                <c:pt idx="40">
                  <c:v>44</c:v>
                </c:pt>
                <c:pt idx="41">
                  <c:v>44</c:v>
                </c:pt>
                <c:pt idx="42">
                  <c:v>44</c:v>
                </c:pt>
                <c:pt idx="43">
                  <c:v>44</c:v>
                </c:pt>
                <c:pt idx="44">
                  <c:v>44</c:v>
                </c:pt>
                <c:pt idx="45">
                  <c:v>44</c:v>
                </c:pt>
                <c:pt idx="46">
                  <c:v>44</c:v>
                </c:pt>
                <c:pt idx="47">
                  <c:v>44</c:v>
                </c:pt>
                <c:pt idx="48">
                  <c:v>44</c:v>
                </c:pt>
                <c:pt idx="49">
                  <c:v>44</c:v>
                </c:pt>
                <c:pt idx="50">
                  <c:v>44</c:v>
                </c:pt>
                <c:pt idx="51">
                  <c:v>44</c:v>
                </c:pt>
                <c:pt idx="52">
                  <c:v>44</c:v>
                </c:pt>
                <c:pt idx="53">
                  <c:v>44</c:v>
                </c:pt>
                <c:pt idx="54">
                  <c:v>44</c:v>
                </c:pt>
                <c:pt idx="55">
                  <c:v>44</c:v>
                </c:pt>
                <c:pt idx="56">
                  <c:v>44</c:v>
                </c:pt>
                <c:pt idx="57">
                  <c:v>44</c:v>
                </c:pt>
                <c:pt idx="58">
                  <c:v>44</c:v>
                </c:pt>
                <c:pt idx="59">
                  <c:v>44</c:v>
                </c:pt>
                <c:pt idx="60">
                  <c:v>54</c:v>
                </c:pt>
                <c:pt idx="61">
                  <c:v>54</c:v>
                </c:pt>
                <c:pt idx="62">
                  <c:v>54</c:v>
                </c:pt>
                <c:pt idx="63">
                  <c:v>54</c:v>
                </c:pt>
                <c:pt idx="64">
                  <c:v>54</c:v>
                </c:pt>
                <c:pt idx="65">
                  <c:v>54</c:v>
                </c:pt>
                <c:pt idx="66">
                  <c:v>54</c:v>
                </c:pt>
                <c:pt idx="67">
                  <c:v>54</c:v>
                </c:pt>
                <c:pt idx="68">
                  <c:v>54</c:v>
                </c:pt>
                <c:pt idx="69">
                  <c:v>54</c:v>
                </c:pt>
                <c:pt idx="70">
                  <c:v>54</c:v>
                </c:pt>
                <c:pt idx="71">
                  <c:v>54</c:v>
                </c:pt>
                <c:pt idx="72">
                  <c:v>54</c:v>
                </c:pt>
                <c:pt idx="73">
                  <c:v>54</c:v>
                </c:pt>
                <c:pt idx="74">
                  <c:v>54</c:v>
                </c:pt>
                <c:pt idx="75">
                  <c:v>54</c:v>
                </c:pt>
                <c:pt idx="76">
                  <c:v>54</c:v>
                </c:pt>
                <c:pt idx="77">
                  <c:v>54</c:v>
                </c:pt>
                <c:pt idx="78">
                  <c:v>54</c:v>
                </c:pt>
                <c:pt idx="79">
                  <c:v>54</c:v>
                </c:pt>
                <c:pt idx="80">
                  <c:v>54</c:v>
                </c:pt>
                <c:pt idx="81">
                  <c:v>54</c:v>
                </c:pt>
                <c:pt idx="82">
                  <c:v>54</c:v>
                </c:pt>
                <c:pt idx="83">
                  <c:v>54</c:v>
                </c:pt>
                <c:pt idx="84">
                  <c:v>54</c:v>
                </c:pt>
                <c:pt idx="85">
                  <c:v>54</c:v>
                </c:pt>
                <c:pt idx="86">
                  <c:v>54</c:v>
                </c:pt>
                <c:pt idx="87">
                  <c:v>54</c:v>
                </c:pt>
                <c:pt idx="88">
                  <c:v>54</c:v>
                </c:pt>
                <c:pt idx="89">
                  <c:v>54</c:v>
                </c:pt>
                <c:pt idx="90">
                  <c:v>54</c:v>
                </c:pt>
                <c:pt idx="91">
                  <c:v>54</c:v>
                </c:pt>
                <c:pt idx="92">
                  <c:v>54</c:v>
                </c:pt>
                <c:pt idx="93">
                  <c:v>54</c:v>
                </c:pt>
                <c:pt idx="94">
                  <c:v>54</c:v>
                </c:pt>
                <c:pt idx="95">
                  <c:v>54</c:v>
                </c:pt>
                <c:pt idx="96">
                  <c:v>54</c:v>
                </c:pt>
                <c:pt idx="97">
                  <c:v>54</c:v>
                </c:pt>
                <c:pt idx="98">
                  <c:v>54</c:v>
                </c:pt>
                <c:pt idx="99">
                  <c:v>54</c:v>
                </c:pt>
                <c:pt idx="100">
                  <c:v>54</c:v>
                </c:pt>
                <c:pt idx="101">
                  <c:v>54</c:v>
                </c:pt>
                <c:pt idx="102">
                  <c:v>54</c:v>
                </c:pt>
              </c:numCache>
            </c:numRef>
          </c:yVal>
          <c:smooth val="1"/>
          <c:extLst>
            <c:ext xmlns:c16="http://schemas.microsoft.com/office/drawing/2014/chart" uri="{C3380CC4-5D6E-409C-BE32-E72D297353CC}">
              <c16:uniqueId val="{00000001-1138-4F8B-BC2F-AF9F2782E794}"/>
            </c:ext>
          </c:extLst>
        </c:ser>
        <c:dLbls>
          <c:showLegendKey val="0"/>
          <c:showVal val="0"/>
          <c:showCatName val="0"/>
          <c:showSerName val="0"/>
          <c:showPercent val="0"/>
          <c:showBubbleSize val="0"/>
        </c:dLbls>
        <c:axId val="99058816"/>
        <c:axId val="99060736"/>
      </c:scatterChart>
      <c:valAx>
        <c:axId val="99058816"/>
        <c:scaling>
          <c:orientation val="minMax"/>
        </c:scaling>
        <c:delete val="0"/>
        <c:axPos val="b"/>
        <c:title>
          <c:tx>
            <c:rich>
              <a:bodyPr/>
              <a:lstStyle/>
              <a:p>
                <a:pPr>
                  <a:defRPr/>
                </a:pPr>
                <a:r>
                  <a:rPr lang="en-US"/>
                  <a:t>Output</a:t>
                </a:r>
                <a:r>
                  <a:rPr lang="en-US" baseline="0"/>
                  <a:t> Voltage (V)</a:t>
                </a:r>
                <a:endParaRPr lang="en-US"/>
              </a:p>
            </c:rich>
          </c:tx>
          <c:overlay val="0"/>
        </c:title>
        <c:numFmt formatCode="0.00" sourceLinked="1"/>
        <c:majorTickMark val="out"/>
        <c:minorTickMark val="none"/>
        <c:tickLblPos val="nextTo"/>
        <c:crossAx val="99060736"/>
        <c:crosses val="autoZero"/>
        <c:crossBetween val="midCat"/>
      </c:valAx>
      <c:valAx>
        <c:axId val="99060736"/>
        <c:scaling>
          <c:orientation val="minMax"/>
          <c:min val="0"/>
        </c:scaling>
        <c:delete val="0"/>
        <c:axPos val="l"/>
        <c:majorGridlines/>
        <c:title>
          <c:tx>
            <c:rich>
              <a:bodyPr rot="-5400000" vert="horz"/>
              <a:lstStyle/>
              <a:p>
                <a:pPr>
                  <a:defRPr/>
                </a:pPr>
                <a:r>
                  <a:rPr lang="en-US"/>
                  <a:t>Current (A)</a:t>
                </a:r>
              </a:p>
            </c:rich>
          </c:tx>
          <c:overlay val="0"/>
        </c:title>
        <c:numFmt formatCode="0.000" sourceLinked="1"/>
        <c:majorTickMark val="out"/>
        <c:minorTickMark val="none"/>
        <c:tickLblPos val="nextTo"/>
        <c:crossAx val="99058816"/>
        <c:crosses val="autoZero"/>
        <c:crossBetween val="midCat"/>
      </c:valAx>
    </c:plotArea>
    <c:legend>
      <c:legendPos val="r"/>
      <c:layout>
        <c:manualLayout>
          <c:xMode val="edge"/>
          <c:yMode val="edge"/>
          <c:x val="0.34624252358789726"/>
          <c:y val="0.24479126489117176"/>
          <c:w val="0.21462230092985587"/>
          <c:h val="0.16792443955258282"/>
        </c:manualLayout>
      </c:layout>
      <c:overlay val="0"/>
      <c:spPr>
        <a:solidFill>
          <a:sysClr val="window" lastClr="FFFFFF"/>
        </a:solidFill>
        <a:ln>
          <a:solidFill>
            <a:schemeClr val="tx1"/>
          </a:solidFill>
        </a:ln>
      </c:spPr>
      <c:txPr>
        <a:bodyPr/>
        <a:lstStyle/>
        <a:p>
          <a:pPr>
            <a:defRPr>
              <a:ln>
                <a:solidFill>
                  <a:sysClr val="windowText" lastClr="000000"/>
                </a:solidFill>
              </a:ln>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8.emf"/><Relationship Id="rId3" Type="http://schemas.openxmlformats.org/officeDocument/2006/relationships/hyperlink" Target="http://www.ti.com/" TargetMode="External"/><Relationship Id="rId7" Type="http://schemas.openxmlformats.org/officeDocument/2006/relationships/chart" Target="../charts/chart1.xml"/><Relationship Id="rId12" Type="http://schemas.openxmlformats.org/officeDocument/2006/relationships/image" Target="../media/image7.png"/><Relationship Id="rId2" Type="http://schemas.openxmlformats.org/officeDocument/2006/relationships/hyperlink" Target="http://www.ti.com/lit/gpn/lm5066i" TargetMode="External"/><Relationship Id="rId16" Type="http://schemas.openxmlformats.org/officeDocument/2006/relationships/image" Target="../media/image11.png"/><Relationship Id="rId1" Type="http://schemas.openxmlformats.org/officeDocument/2006/relationships/image" Target="../media/image2.png"/><Relationship Id="rId6" Type="http://schemas.openxmlformats.org/officeDocument/2006/relationships/image" Target="../media/image5.png"/><Relationship Id="rId11" Type="http://schemas.openxmlformats.org/officeDocument/2006/relationships/image" Target="../media/image6.png"/><Relationship Id="rId5" Type="http://schemas.openxmlformats.org/officeDocument/2006/relationships/image" Target="../media/image4.emf"/><Relationship Id="rId15" Type="http://schemas.openxmlformats.org/officeDocument/2006/relationships/image" Target="../media/image10.png"/><Relationship Id="rId10" Type="http://schemas.openxmlformats.org/officeDocument/2006/relationships/hyperlink" Target="http://www.ti.com/product/lm5066i" TargetMode="External"/><Relationship Id="rId4" Type="http://schemas.openxmlformats.org/officeDocument/2006/relationships/image" Target="../media/image3.png"/><Relationship Id="rId9" Type="http://schemas.openxmlformats.org/officeDocument/2006/relationships/chart" Target="../charts/chart3.xml"/><Relationship Id="rId14" Type="http://schemas.openxmlformats.org/officeDocument/2006/relationships/image" Target="../media/image9.emf"/></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96982</xdr:colOff>
      <xdr:row>1</xdr:row>
      <xdr:rowOff>132484</xdr:rowOff>
    </xdr:from>
    <xdr:to>
      <xdr:col>15</xdr:col>
      <xdr:colOff>678007</xdr:colOff>
      <xdr:row>5</xdr:row>
      <xdr:rowOff>65809</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96982" y="312593"/>
          <a:ext cx="9725025" cy="94470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142875</xdr:colOff>
      <xdr:row>2</xdr:row>
      <xdr:rowOff>28575</xdr:rowOff>
    </xdr:from>
    <xdr:to>
      <xdr:col>4</xdr:col>
      <xdr:colOff>28575</xdr:colOff>
      <xdr:row>4</xdr:row>
      <xdr:rowOff>133350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342900"/>
          <a:ext cx="2324100"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134376</xdr:colOff>
      <xdr:row>132</xdr:row>
      <xdr:rowOff>65676</xdr:rowOff>
    </xdr:from>
    <xdr:to>
      <xdr:col>4</xdr:col>
      <xdr:colOff>570591</xdr:colOff>
      <xdr:row>146</xdr:row>
      <xdr:rowOff>53026</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1"/>
        <a:srcRect t="927" r="703"/>
        <a:stretch/>
      </xdr:blipFill>
      <xdr:spPr>
        <a:xfrm>
          <a:off x="170235" y="21428570"/>
          <a:ext cx="4803521" cy="2625215"/>
        </a:xfrm>
        <a:prstGeom prst="rect">
          <a:avLst/>
        </a:prstGeom>
      </xdr:spPr>
    </xdr:pic>
    <xdr:clientData/>
  </xdr:twoCellAnchor>
  <xdr:twoCellAnchor>
    <xdr:from>
      <xdr:col>0</xdr:col>
      <xdr:colOff>64769</xdr:colOff>
      <xdr:row>1</xdr:row>
      <xdr:rowOff>104775</xdr:rowOff>
    </xdr:from>
    <xdr:to>
      <xdr:col>7</xdr:col>
      <xdr:colOff>19050</xdr:colOff>
      <xdr:row>7</xdr:row>
      <xdr:rowOff>0</xdr:rowOff>
    </xdr:to>
    <xdr:sp macro="" textlink="">
      <xdr:nvSpPr>
        <xdr:cNvPr id="1025" name="Text Box 1">
          <a:hlinkClick xmlns:r="http://schemas.openxmlformats.org/officeDocument/2006/relationships" r:id="rId2"/>
          <a:extLst>
            <a:ext uri="{FF2B5EF4-FFF2-40B4-BE49-F238E27FC236}">
              <a16:creationId xmlns:a16="http://schemas.microsoft.com/office/drawing/2014/main" id="{00000000-0008-0000-0100-000001040000}"/>
            </a:ext>
          </a:extLst>
        </xdr:cNvPr>
        <xdr:cNvSpPr txBox="1">
          <a:spLocks noChangeArrowheads="1"/>
        </xdr:cNvSpPr>
      </xdr:nvSpPr>
      <xdr:spPr bwMode="auto">
        <a:xfrm>
          <a:off x="64769" y="876300"/>
          <a:ext cx="6497956" cy="90487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0" u="sng" strike="noStrike" baseline="0">
              <a:solidFill>
                <a:srgbClr val="FF0000"/>
              </a:solidFill>
              <a:latin typeface="Arial"/>
              <a:cs typeface="Arial"/>
            </a:rPr>
            <a:t>Note</a:t>
          </a:r>
          <a:r>
            <a:rPr lang="en-US" sz="1200" b="1" i="0" u="none" strike="noStrike" baseline="0">
              <a:solidFill>
                <a:srgbClr val="FF0000"/>
              </a:solidFill>
              <a:latin typeface="Arial"/>
              <a:cs typeface="Arial"/>
            </a:rPr>
            <a:t>:</a:t>
          </a:r>
          <a:r>
            <a:rPr lang="en-US" sz="1200" b="0" i="0" u="none" strike="noStrike" baseline="0">
              <a:solidFill>
                <a:srgbClr val="FF0000"/>
              </a:solidFill>
              <a:latin typeface="Arial"/>
              <a:cs typeface="Arial"/>
            </a:rPr>
            <a:t> The components calculated in this worksheet are reasonable starting values for a design using the LM5066I PMBus Hot-swap Controller. As such, they are not optimized for any particular performance attribute. Tolerances of the components are not included in the calculations. See the Instructions tab for additional information.</a:t>
          </a:r>
        </a:p>
        <a:p>
          <a:pPr algn="l" rtl="0">
            <a:defRPr sz="1000"/>
          </a:pPr>
          <a:r>
            <a:rPr lang="en-US" sz="1200" b="1" i="0" u="none" strike="noStrike" baseline="0">
              <a:solidFill>
                <a:sysClr val="windowText" lastClr="000000"/>
              </a:solidFill>
              <a:latin typeface="Arial"/>
              <a:cs typeface="Arial"/>
            </a:rPr>
            <a:t>Consult the LM5066/I datasheet for more detail.</a:t>
          </a:r>
        </a:p>
      </xdr:txBody>
    </xdr:sp>
    <xdr:clientData/>
  </xdr:twoCellAnchor>
  <xdr:twoCellAnchor>
    <xdr:from>
      <xdr:col>41</xdr:col>
      <xdr:colOff>0</xdr:colOff>
      <xdr:row>63</xdr:row>
      <xdr:rowOff>0</xdr:rowOff>
    </xdr:from>
    <xdr:to>
      <xdr:col>41</xdr:col>
      <xdr:colOff>0</xdr:colOff>
      <xdr:row>70</xdr:row>
      <xdr:rowOff>0</xdr:rowOff>
    </xdr:to>
    <xdr:sp macro="" textlink="">
      <xdr:nvSpPr>
        <xdr:cNvPr id="1056" name="Text Box 32">
          <a:extLst>
            <a:ext uri="{FF2B5EF4-FFF2-40B4-BE49-F238E27FC236}">
              <a16:creationId xmlns:a16="http://schemas.microsoft.com/office/drawing/2014/main" id="{00000000-0008-0000-0100-000020040000}"/>
            </a:ext>
          </a:extLst>
        </xdr:cNvPr>
        <xdr:cNvSpPr txBox="1">
          <a:spLocks noChangeArrowheads="1"/>
        </xdr:cNvSpPr>
      </xdr:nvSpPr>
      <xdr:spPr bwMode="auto">
        <a:xfrm>
          <a:off x="16821150" y="4267200"/>
          <a:ext cx="2276475" cy="8477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Max R</a:t>
          </a:r>
          <a:r>
            <a:rPr lang="en-US" sz="1000" b="0" i="0" u="none" strike="noStrike" baseline="-25000">
              <a:solidFill>
                <a:srgbClr val="000000"/>
              </a:solidFill>
              <a:latin typeface="Arial"/>
              <a:cs typeface="Arial"/>
            </a:rPr>
            <a:t>S</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45 mV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(Max Load Current x 1.01)</a:t>
          </a:r>
        </a:p>
        <a:p>
          <a:pPr algn="l" rtl="0">
            <a:defRPr sz="1000"/>
          </a:pPr>
          <a:endParaRPr lang="en-US" sz="10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The 1.01 factor provides 1% margin from the max. normal load current.</a:t>
          </a:r>
        </a:p>
      </xdr:txBody>
    </xdr:sp>
    <xdr:clientData/>
  </xdr:twoCellAnchor>
  <xdr:twoCellAnchor editAs="oneCell">
    <xdr:from>
      <xdr:col>0</xdr:col>
      <xdr:colOff>76200</xdr:colOff>
      <xdr:row>0</xdr:row>
      <xdr:rowOff>171450</xdr:rowOff>
    </xdr:from>
    <xdr:to>
      <xdr:col>1</xdr:col>
      <xdr:colOff>1667212</xdr:colOff>
      <xdr:row>0</xdr:row>
      <xdr:rowOff>609600</xdr:rowOff>
    </xdr:to>
    <xdr:pic>
      <xdr:nvPicPr>
        <xdr:cNvPr id="10" name="Picture 9">
          <a:hlinkClick xmlns:r="http://schemas.openxmlformats.org/officeDocument/2006/relationships" r:id="rId3"/>
          <a:extLst>
            <a:ext uri="{FF2B5EF4-FFF2-40B4-BE49-F238E27FC236}">
              <a16:creationId xmlns:a16="http://schemas.microsoft.com/office/drawing/2014/main" id="{00000000-0008-0000-0100-00000A000000}"/>
            </a:ext>
          </a:extLst>
        </xdr:cNvPr>
        <xdr:cNvPicPr/>
      </xdr:nvPicPr>
      <xdr:blipFill>
        <a:blip xmlns:r="http://schemas.openxmlformats.org/officeDocument/2006/relationships" r:embed="rId4" cstate="print"/>
        <a:srcRect r="26499"/>
        <a:stretch>
          <a:fillRect/>
        </a:stretch>
      </xdr:blipFill>
      <xdr:spPr bwMode="auto">
        <a:xfrm>
          <a:off x="76200" y="171450"/>
          <a:ext cx="1657687" cy="438150"/>
        </a:xfrm>
        <a:prstGeom prst="rect">
          <a:avLst/>
        </a:prstGeom>
        <a:noFill/>
        <a:ln w="9525">
          <a:noFill/>
          <a:miter lim="800000"/>
          <a:headEnd/>
          <a:tailEnd/>
        </a:ln>
      </xdr:spPr>
    </xdr:pic>
    <xdr:clientData/>
  </xdr:twoCellAnchor>
  <xdr:twoCellAnchor editAs="oneCell">
    <xdr:from>
      <xdr:col>5</xdr:col>
      <xdr:colOff>95251</xdr:colOff>
      <xdr:row>170</xdr:row>
      <xdr:rowOff>95251</xdr:rowOff>
    </xdr:from>
    <xdr:to>
      <xdr:col>7</xdr:col>
      <xdr:colOff>35741</xdr:colOff>
      <xdr:row>170</xdr:row>
      <xdr:rowOff>97409</xdr:rowOff>
    </xdr:to>
    <xdr:pic>
      <xdr:nvPicPr>
        <xdr:cNvPr id="3" name="Picture 216">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5467351" y="15116176"/>
          <a:ext cx="4019549" cy="653471"/>
        </a:xfrm>
        <a:prstGeom prst="rect">
          <a:avLst/>
        </a:prstGeom>
        <a:noFill/>
      </xdr:spPr>
    </xdr:pic>
    <xdr:clientData/>
  </xdr:twoCellAnchor>
  <xdr:twoCellAnchor>
    <xdr:from>
      <xdr:col>16</xdr:col>
      <xdr:colOff>714375</xdr:colOff>
      <xdr:row>0</xdr:row>
      <xdr:rowOff>114871</xdr:rowOff>
    </xdr:from>
    <xdr:to>
      <xdr:col>16</xdr:col>
      <xdr:colOff>2247900</xdr:colOff>
      <xdr:row>0</xdr:row>
      <xdr:rowOff>516906</xdr:rowOff>
    </xdr:to>
    <xdr:pic>
      <xdr:nvPicPr>
        <xdr:cNvPr id="11" name="Picture 84">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0982325" y="114871"/>
          <a:ext cx="1533525" cy="402035"/>
        </a:xfrm>
        <a:prstGeom prst="rect">
          <a:avLst/>
        </a:prstGeom>
        <a:noFill/>
        <a:ln w="1">
          <a:noFill/>
          <a:miter lim="800000"/>
          <a:headEnd/>
          <a:tailEnd type="none" w="med" len="med"/>
        </a:ln>
        <a:effectLst/>
      </xdr:spPr>
    </xdr:pic>
    <xdr:clientData/>
  </xdr:twoCellAnchor>
  <xdr:twoCellAnchor>
    <xdr:from>
      <xdr:col>9</xdr:col>
      <xdr:colOff>274321</xdr:colOff>
      <xdr:row>52</xdr:row>
      <xdr:rowOff>76201</xdr:rowOff>
    </xdr:from>
    <xdr:to>
      <xdr:col>40</xdr:col>
      <xdr:colOff>89647</xdr:colOff>
      <xdr:row>67</xdr:row>
      <xdr:rowOff>141941</xdr:rowOff>
    </xdr:to>
    <xdr:graphicFrame macro="">
      <xdr:nvGraphicFramePr>
        <xdr:cNvPr id="19" name="Chart 100">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10</xdr:col>
      <xdr:colOff>53340</xdr:colOff>
      <xdr:row>38</xdr:row>
      <xdr:rowOff>175260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26680" y="5196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1635227</xdr:colOff>
      <xdr:row>74</xdr:row>
      <xdr:rowOff>121345</xdr:rowOff>
    </xdr:from>
    <xdr:to>
      <xdr:col>38</xdr:col>
      <xdr:colOff>691403</xdr:colOff>
      <xdr:row>86</xdr:row>
      <xdr:rowOff>122464</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13</xdr:col>
      <xdr:colOff>434340</xdr:colOff>
      <xdr:row>59</xdr:row>
      <xdr:rowOff>91440</xdr:rowOff>
    </xdr:from>
    <xdr:ext cx="184731" cy="26456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309860" y="7741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1593614</xdr:colOff>
      <xdr:row>87</xdr:row>
      <xdr:rowOff>54429</xdr:rowOff>
    </xdr:from>
    <xdr:to>
      <xdr:col>38</xdr:col>
      <xdr:colOff>744835</xdr:colOff>
      <xdr:row>99</xdr:row>
      <xdr:rowOff>60610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14</xdr:col>
      <xdr:colOff>662940</xdr:colOff>
      <xdr:row>76</xdr:row>
      <xdr:rowOff>30480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193780" y="98602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8</xdr:col>
      <xdr:colOff>583935</xdr:colOff>
      <xdr:row>1</xdr:row>
      <xdr:rowOff>100507</xdr:rowOff>
    </xdr:from>
    <xdr:to>
      <xdr:col>11</xdr:col>
      <xdr:colOff>247278</xdr:colOff>
      <xdr:row>7</xdr:row>
      <xdr:rowOff>1</xdr:rowOff>
    </xdr:to>
    <xdr:pic>
      <xdr:nvPicPr>
        <xdr:cNvPr id="6" name="Picture 5">
          <a:hlinkClick xmlns:r="http://schemas.openxmlformats.org/officeDocument/2006/relationships" r:id="rId10"/>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1"/>
        <a:stretch>
          <a:fillRect/>
        </a:stretch>
      </xdr:blipFill>
      <xdr:spPr>
        <a:xfrm>
          <a:off x="12721506" y="871578"/>
          <a:ext cx="1876772" cy="1042494"/>
        </a:xfrm>
        <a:prstGeom prst="rect">
          <a:avLst/>
        </a:prstGeom>
      </xdr:spPr>
    </xdr:pic>
    <xdr:clientData/>
  </xdr:twoCellAnchor>
  <xdr:twoCellAnchor>
    <xdr:from>
      <xdr:col>7</xdr:col>
      <xdr:colOff>818594</xdr:colOff>
      <xdr:row>34</xdr:row>
      <xdr:rowOff>152838</xdr:rowOff>
    </xdr:from>
    <xdr:to>
      <xdr:col>9</xdr:col>
      <xdr:colOff>308428</xdr:colOff>
      <xdr:row>44</xdr:row>
      <xdr:rowOff>9072</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10860952" y="7275533"/>
          <a:ext cx="2237044" cy="1781286"/>
          <a:chOff x="7507942" y="4356356"/>
          <a:chExt cx="2857500" cy="2548942"/>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
          <a:stretch>
            <a:fillRect/>
          </a:stretch>
        </xdr:blipFill>
        <xdr:spPr>
          <a:xfrm>
            <a:off x="7507942" y="4356356"/>
            <a:ext cx="2857500" cy="2548942"/>
          </a:xfrm>
          <a:prstGeom prst="rect">
            <a:avLst/>
          </a:prstGeom>
        </xdr:spPr>
      </xdr:pic>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8436444" y="4949137"/>
            <a:ext cx="771295" cy="43324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latin typeface="Arial" panose="020B0604020202020204" pitchFamily="34" charset="0"/>
                <a:cs typeface="Arial" panose="020B0604020202020204" pitchFamily="34" charset="0"/>
              </a:rPr>
              <a:t>R</a:t>
            </a:r>
            <a:r>
              <a:rPr lang="en-US" sz="1200" b="0" baseline="-25000">
                <a:latin typeface="Arial" panose="020B0604020202020204" pitchFamily="34" charset="0"/>
                <a:cs typeface="Arial" panose="020B0604020202020204" pitchFamily="34" charset="0"/>
              </a:rPr>
              <a:t>CL1</a:t>
            </a:r>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9397253" y="5038165"/>
            <a:ext cx="820639" cy="44924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latin typeface="Arial" panose="020B0604020202020204" pitchFamily="34" charset="0"/>
                <a:cs typeface="Arial" panose="020B0604020202020204" pitchFamily="34" charset="0"/>
              </a:rPr>
              <a:t>R</a:t>
            </a:r>
            <a:r>
              <a:rPr lang="en-US" sz="1200" b="0" baseline="-25000">
                <a:latin typeface="Arial" panose="020B0604020202020204" pitchFamily="34" charset="0"/>
                <a:cs typeface="Arial" panose="020B0604020202020204" pitchFamily="34" charset="0"/>
              </a:rPr>
              <a:t>CL2</a:t>
            </a:r>
          </a:p>
        </xdr:txBody>
      </xdr:sp>
    </xdr:grpSp>
    <xdr:clientData/>
  </xdr:twoCellAnchor>
  <xdr:twoCellAnchor>
    <xdr:from>
      <xdr:col>7</xdr:col>
      <xdr:colOff>667386</xdr:colOff>
      <xdr:row>101</xdr:row>
      <xdr:rowOff>138169</xdr:rowOff>
    </xdr:from>
    <xdr:to>
      <xdr:col>40</xdr:col>
      <xdr:colOff>322736</xdr:colOff>
      <xdr:row>128</xdr:row>
      <xdr:rowOff>149679</xdr:rowOff>
    </xdr:to>
    <xdr:grpSp>
      <xdr:nvGrpSpPr>
        <xdr:cNvPr id="24" name="Group 23">
          <a:extLst>
            <a:ext uri="{FF2B5EF4-FFF2-40B4-BE49-F238E27FC236}">
              <a16:creationId xmlns:a16="http://schemas.microsoft.com/office/drawing/2014/main" id="{E08A294E-9E7C-46C9-A6C9-A9577F1F4D38}"/>
            </a:ext>
          </a:extLst>
        </xdr:cNvPr>
        <xdr:cNvGrpSpPr/>
      </xdr:nvGrpSpPr>
      <xdr:grpSpPr>
        <a:xfrm>
          <a:off x="10709744" y="20158716"/>
          <a:ext cx="6766013" cy="5209152"/>
          <a:chOff x="10328457" y="19963776"/>
          <a:chExt cx="6581386" cy="5155010"/>
        </a:xfrm>
      </xdr:grpSpPr>
      <xdr:grpSp>
        <xdr:nvGrpSpPr>
          <xdr:cNvPr id="13" name="Group 12">
            <a:extLst>
              <a:ext uri="{FF2B5EF4-FFF2-40B4-BE49-F238E27FC236}">
                <a16:creationId xmlns:a16="http://schemas.microsoft.com/office/drawing/2014/main" id="{5D6BA5D7-E919-42B0-BFA3-8C01AA0483E5}"/>
              </a:ext>
            </a:extLst>
          </xdr:cNvPr>
          <xdr:cNvGrpSpPr/>
        </xdr:nvGrpSpPr>
        <xdr:grpSpPr>
          <a:xfrm>
            <a:off x="10328457" y="19963776"/>
            <a:ext cx="3451175" cy="5155010"/>
            <a:chOff x="13080812" y="19828941"/>
            <a:chExt cx="3059219" cy="4584690"/>
          </a:xfrm>
        </xdr:grpSpPr>
        <xdr:pic>
          <xdr:nvPicPr>
            <xdr:cNvPr id="1253" name="Picture 229">
              <a:extLst>
                <a:ext uri="{FF2B5EF4-FFF2-40B4-BE49-F238E27FC236}">
                  <a16:creationId xmlns:a16="http://schemas.microsoft.com/office/drawing/2014/main" id="{00000000-0008-0000-0100-0000E5040000}"/>
                </a:ext>
              </a:extLst>
            </xdr:cNvPr>
            <xdr:cNvPicPr>
              <a:picLocks noChangeAspect="1" noChangeArrowheads="1"/>
            </xdr:cNvPicPr>
          </xdr:nvPicPr>
          <xdr:blipFill rotWithShape="1">
            <a:blip xmlns:r="http://schemas.openxmlformats.org/officeDocument/2006/relationships" r:embed="rId13" cstate="print"/>
            <a:srcRect t="89127"/>
            <a:stretch/>
          </xdr:blipFill>
          <xdr:spPr bwMode="auto">
            <a:xfrm>
              <a:off x="13206058" y="21791920"/>
              <a:ext cx="2766450" cy="198815"/>
            </a:xfrm>
            <a:prstGeom prst="rect">
              <a:avLst/>
            </a:prstGeom>
            <a:noFill/>
          </xdr:spPr>
        </xdr:pic>
        <xdr:pic>
          <xdr:nvPicPr>
            <xdr:cNvPr id="1254" name="Picture 230">
              <a:extLst>
                <a:ext uri="{FF2B5EF4-FFF2-40B4-BE49-F238E27FC236}">
                  <a16:creationId xmlns:a16="http://schemas.microsoft.com/office/drawing/2014/main" id="{00000000-0008-0000-0100-0000E6040000}"/>
                </a:ext>
              </a:extLst>
            </xdr:cNvPr>
            <xdr:cNvPicPr>
              <a:picLocks noChangeAspect="1" noChangeArrowheads="1"/>
            </xdr:cNvPicPr>
          </xdr:nvPicPr>
          <xdr:blipFill rotWithShape="1">
            <a:blip xmlns:r="http://schemas.openxmlformats.org/officeDocument/2006/relationships" r:embed="rId14" cstate="print"/>
            <a:srcRect t="88613"/>
            <a:stretch/>
          </xdr:blipFill>
          <xdr:spPr bwMode="auto">
            <a:xfrm>
              <a:off x="13282128" y="24202159"/>
              <a:ext cx="2762098" cy="211472"/>
            </a:xfrm>
            <a:prstGeom prst="rect">
              <a:avLst/>
            </a:prstGeom>
            <a:noFill/>
          </xdr:spPr>
        </xdr:pic>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5"/>
            <a:stretch>
              <a:fillRect/>
            </a:stretch>
          </xdr:blipFill>
          <xdr:spPr>
            <a:xfrm>
              <a:off x="13085392" y="19828941"/>
              <a:ext cx="3054639" cy="1996110"/>
            </a:xfrm>
            <a:prstGeom prst="rect">
              <a:avLst/>
            </a:prstGeom>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6"/>
            <a:stretch>
              <a:fillRect/>
            </a:stretch>
          </xdr:blipFill>
          <xdr:spPr>
            <a:xfrm>
              <a:off x="13080812" y="22393714"/>
              <a:ext cx="2966629" cy="1783597"/>
            </a:xfrm>
            <a:prstGeom prst="rect">
              <a:avLst/>
            </a:prstGeom>
          </xdr:spPr>
        </xdr:pic>
      </xdr:grpSp>
      <xdr:grpSp>
        <xdr:nvGrpSpPr>
          <xdr:cNvPr id="17" name="Group 16">
            <a:extLst>
              <a:ext uri="{FF2B5EF4-FFF2-40B4-BE49-F238E27FC236}">
                <a16:creationId xmlns:a16="http://schemas.microsoft.com/office/drawing/2014/main" id="{3CB83C12-D2B8-4574-BC80-BFB21EA256DF}"/>
              </a:ext>
            </a:extLst>
          </xdr:cNvPr>
          <xdr:cNvGrpSpPr/>
        </xdr:nvGrpSpPr>
        <xdr:grpSpPr>
          <a:xfrm>
            <a:off x="13933714" y="20356286"/>
            <a:ext cx="2976129" cy="4559554"/>
            <a:chOff x="13933714" y="20356286"/>
            <a:chExt cx="2976129" cy="4559554"/>
          </a:xfrm>
        </xdr:grpSpPr>
        <xdr:grpSp>
          <xdr:nvGrpSpPr>
            <xdr:cNvPr id="14" name="Group 13">
              <a:extLst>
                <a:ext uri="{FF2B5EF4-FFF2-40B4-BE49-F238E27FC236}">
                  <a16:creationId xmlns:a16="http://schemas.microsoft.com/office/drawing/2014/main" id="{99D4B2EF-8AE5-4DE6-935A-7A3615F1853A}"/>
                </a:ext>
              </a:extLst>
            </xdr:cNvPr>
            <xdr:cNvGrpSpPr/>
          </xdr:nvGrpSpPr>
          <xdr:grpSpPr>
            <a:xfrm>
              <a:off x="13933714" y="20356286"/>
              <a:ext cx="2976129" cy="1612157"/>
              <a:chOff x="14205857" y="20206607"/>
              <a:chExt cx="2976129" cy="1612157"/>
            </a:xfrm>
          </xdr:grpSpPr>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387CD19C-9D4C-4789-836B-2DFFFE6C01F3}"/>
                      </a:ext>
                    </a:extLst>
                  </xdr:cNvPr>
                  <xdr:cNvSpPr txBox="1"/>
                </xdr:nvSpPr>
                <xdr:spPr>
                  <a:xfrm>
                    <a:off x="14205857" y="20206607"/>
                    <a:ext cx="2284704"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r>
                                <a:rPr lang="en-IN" sz="1200" b="0" i="1">
                                  <a:latin typeface="Cambria Math" panose="02040503050406030204" pitchFamily="18" charset="0"/>
                                </a:rPr>
                                <m:t>2</m:t>
                              </m:r>
                              <m:r>
                                <a:rPr lang="en-US" sz="1200" b="0" i="1">
                                  <a:latin typeface="Cambria Math" panose="02040503050406030204" pitchFamily="18" charset="0"/>
                                </a:rPr>
                                <m:t>0</m:t>
                              </m:r>
                              <m:r>
                                <a:rPr lang="en-IN" sz="1200" b="0" i="1">
                                  <a:latin typeface="Cambria Math" panose="02040503050406030204" pitchFamily="18" charset="0"/>
                                  <a:ea typeface="Cambria Math" panose="02040503050406030204" pitchFamily="18" charset="0"/>
                                </a:rPr>
                                <m:t>𝜇</m:t>
                              </m:r>
                              <m:r>
                                <a:rPr lang="en-IN" sz="1200" b="0" i="1">
                                  <a:latin typeface="Cambria Math" panose="02040503050406030204" pitchFamily="18" charset="0"/>
                                  <a:ea typeface="Cambria Math" panose="02040503050406030204" pitchFamily="18" charset="0"/>
                                </a:rPr>
                                <m:t>𝐴</m:t>
                              </m:r>
                            </m:den>
                          </m:f>
                        </m:oMath>
                      </m:oMathPara>
                    </a14:m>
                    <a:endParaRPr lang="en-IN" sz="1200" b="0"/>
                  </a:p>
                </xdr:txBody>
              </xdr:sp>
            </mc:Choice>
            <mc:Fallback xmlns="">
              <xdr:sp macro="" textlink="">
                <xdr:nvSpPr>
                  <xdr:cNvPr id="26" name="TextBox 25">
                    <a:extLst>
                      <a:ext uri="{FF2B5EF4-FFF2-40B4-BE49-F238E27FC236}">
                        <a16:creationId xmlns:a16="http://schemas.microsoft.com/office/drawing/2014/main" id="{387CD19C-9D4C-4789-836B-2DFFFE6C01F3}"/>
                      </a:ext>
                    </a:extLst>
                  </xdr:cNvPr>
                  <xdr:cNvSpPr txBox="1"/>
                </xdr:nvSpPr>
                <xdr:spPr>
                  <a:xfrm>
                    <a:off x="14205857" y="20206607"/>
                    <a:ext cx="2284704"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𝑅_1=(〖𝑈𝑉𝐿𝑂〗_((𝑢𝑝𝑝𝑒𝑟))−〖𝑈𝑉𝐿𝑂〗_((𝑙𝑜𝑤𝑒𝑟)))/2</a:t>
                    </a:r>
                    <a:r>
                      <a:rPr lang="en-US" sz="1200" b="0" i="0">
                        <a:latin typeface="Cambria Math" panose="02040503050406030204" pitchFamily="18" charset="0"/>
                      </a:rPr>
                      <a:t>0</a:t>
                    </a:r>
                    <a:r>
                      <a:rPr lang="en-IN" sz="1200" b="0" i="0">
                        <a:latin typeface="Cambria Math" panose="02040503050406030204" pitchFamily="18" charset="0"/>
                        <a:ea typeface="Cambria Math" panose="02040503050406030204" pitchFamily="18" charset="0"/>
                      </a:rPr>
                      <a:t>𝜇𝐴</a:t>
                    </a:r>
                    <a:endParaRPr lang="en-IN" sz="1200" b="0"/>
                  </a:p>
                </xdr:txBody>
              </xdr:sp>
            </mc:Fallback>
          </mc:AlternateContent>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4FF2A37C-EA71-436B-986B-A649090BE57E}"/>
                      </a:ext>
                    </a:extLst>
                  </xdr:cNvPr>
                  <xdr:cNvSpPr txBox="1"/>
                </xdr:nvSpPr>
                <xdr:spPr>
                  <a:xfrm>
                    <a:off x="14205857" y="20778733"/>
                    <a:ext cx="2204481"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2</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m:t>
                              </m:r>
                              <m:r>
                                <a:rPr lang="en-US" sz="1200" b="0" i="1">
                                  <a:latin typeface="Cambria Math" panose="02040503050406030204" pitchFamily="18" charset="0"/>
                                </a:rPr>
                                <m:t>48</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r>
                                <a:rPr lang="en-IN" sz="1200" b="0" i="1">
                                  <a:latin typeface="Cambria Math" panose="02040503050406030204" pitchFamily="18" charset="0"/>
                                </a:rPr>
                                <m:t>−2.</m:t>
                              </m:r>
                              <m:r>
                                <a:rPr lang="en-US" sz="1200" b="0" i="1">
                                  <a:latin typeface="Cambria Math" panose="02040503050406030204" pitchFamily="18" charset="0"/>
                                </a:rPr>
                                <m:t>48</m:t>
                              </m:r>
                              <m:r>
                                <a:rPr lang="en-IN" sz="1200" b="0" i="1">
                                  <a:latin typeface="Cambria Math" panose="02040503050406030204" pitchFamily="18" charset="0"/>
                                </a:rPr>
                                <m:t>𝑉</m:t>
                              </m:r>
                            </m:den>
                          </m:f>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oMath>
                      </m:oMathPara>
                    </a14:m>
                    <a:endParaRPr lang="en-IN" sz="1200"/>
                  </a:p>
                </xdr:txBody>
              </xdr:sp>
            </mc:Choice>
            <mc:Fallback xmlns="">
              <xdr:sp macro="" textlink="">
                <xdr:nvSpPr>
                  <xdr:cNvPr id="27" name="TextBox 26">
                    <a:extLst>
                      <a:ext uri="{FF2B5EF4-FFF2-40B4-BE49-F238E27FC236}">
                        <a16:creationId xmlns:a16="http://schemas.microsoft.com/office/drawing/2014/main" id="{4FF2A37C-EA71-436B-986B-A649090BE57E}"/>
                      </a:ext>
                    </a:extLst>
                  </xdr:cNvPr>
                  <xdr:cNvSpPr txBox="1"/>
                </xdr:nvSpPr>
                <xdr:spPr>
                  <a:xfrm>
                    <a:off x="14205857" y="20778733"/>
                    <a:ext cx="2204481"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𝑅_2=(2.</a:t>
                    </a:r>
                    <a:r>
                      <a:rPr lang="en-US" sz="1200" b="0" i="0">
                        <a:latin typeface="Cambria Math" panose="02040503050406030204" pitchFamily="18" charset="0"/>
                      </a:rPr>
                      <a:t>48</a:t>
                    </a:r>
                    <a:r>
                      <a:rPr lang="en-IN" sz="1200" b="0" i="0">
                        <a:latin typeface="Cambria Math" panose="02040503050406030204" pitchFamily="18" charset="0"/>
                      </a:rPr>
                      <a:t>𝑉∗𝑅_1)/(〖𝑈𝑉𝐿𝑂〗_((𝑙𝑜𝑤𝑒𝑟))−2.</a:t>
                    </a:r>
                    <a:r>
                      <a:rPr lang="en-US" sz="1200" b="0" i="0">
                        <a:latin typeface="Cambria Math" panose="02040503050406030204" pitchFamily="18" charset="0"/>
                      </a:rPr>
                      <a:t>48</a:t>
                    </a:r>
                    <a:r>
                      <a:rPr lang="en-IN" sz="1200" b="0" i="0">
                        <a:latin typeface="Cambria Math" panose="02040503050406030204" pitchFamily="18" charset="0"/>
                      </a:rPr>
                      <a:t>𝑉)−𝑅_3</a:t>
                    </a:r>
                    <a:endParaRPr lang="en-IN" sz="1200"/>
                  </a:p>
                </xdr:txBody>
              </xdr:sp>
            </mc:Fallback>
          </mc:AlternateContent>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7444CD49-8ABF-4312-BF42-446747774734}"/>
                      </a:ext>
                    </a:extLst>
                  </xdr:cNvPr>
                  <xdr:cNvSpPr txBox="1"/>
                </xdr:nvSpPr>
                <xdr:spPr>
                  <a:xfrm>
                    <a:off x="14205857" y="21408073"/>
                    <a:ext cx="2976129" cy="410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m:t>
                              </m:r>
                              <m:r>
                                <a:rPr lang="en-US" sz="1200" b="0" i="1">
                                  <a:latin typeface="Cambria Math" panose="02040503050406030204" pitchFamily="18" charset="0"/>
                                </a:rPr>
                                <m:t>46</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d>
                                    <m:dPr>
                                      <m:ctrlPr>
                                        <a:rPr lang="en-IN" sz="1200" b="0" i="1">
                                          <a:latin typeface="Cambria Math" panose="02040503050406030204" pitchFamily="18" charset="0"/>
                                        </a:rPr>
                                      </m:ctrlPr>
                                    </m:dPr>
                                    <m:e>
                                      <m:r>
                                        <a:rPr lang="en-IN" sz="1200" b="0" i="1">
                                          <a:latin typeface="Cambria Math" panose="02040503050406030204" pitchFamily="18" charset="0"/>
                                        </a:rPr>
                                        <m:t>𝑙𝑜𝑤𝑒𝑟</m:t>
                                      </m:r>
                                    </m:e>
                                  </m:d>
                                </m:sub>
                              </m:sSub>
                              <m:r>
                                <a:rPr lang="en-IN" sz="1200" b="0" i="1">
                                  <a:latin typeface="Cambria Math" panose="02040503050406030204" pitchFamily="18" charset="0"/>
                                </a:rPr>
                                <m:t>−2.</m:t>
                              </m:r>
                              <m:r>
                                <a:rPr lang="en-US" sz="1200" b="0" i="1">
                                  <a:latin typeface="Cambria Math" panose="02040503050406030204" pitchFamily="18" charset="0"/>
                                </a:rPr>
                                <m:t>48</m:t>
                              </m:r>
                              <m:r>
                                <a:rPr lang="en-IN" sz="1200" b="0" i="1">
                                  <a:latin typeface="Cambria Math" panose="02040503050406030204" pitchFamily="18" charset="0"/>
                                </a:rPr>
                                <m:t>𝑉</m:t>
                              </m:r>
                              <m:r>
                                <a:rPr lang="en-IN" sz="1200" b="0" i="1">
                                  <a:latin typeface="Cambria Math" panose="02040503050406030204" pitchFamily="18" charset="0"/>
                                </a:rPr>
                                <m:t>)</m:t>
                              </m:r>
                            </m:den>
                          </m:f>
                        </m:oMath>
                      </m:oMathPara>
                    </a14:m>
                    <a:endParaRPr lang="en-IN" sz="1200"/>
                  </a:p>
                </xdr:txBody>
              </xdr:sp>
            </mc:Choice>
            <mc:Fallback xmlns="">
              <xdr:sp macro="" textlink="">
                <xdr:nvSpPr>
                  <xdr:cNvPr id="28" name="TextBox 27">
                    <a:extLst>
                      <a:ext uri="{FF2B5EF4-FFF2-40B4-BE49-F238E27FC236}">
                        <a16:creationId xmlns:a16="http://schemas.microsoft.com/office/drawing/2014/main" id="{7444CD49-8ABF-4312-BF42-446747774734}"/>
                      </a:ext>
                    </a:extLst>
                  </xdr:cNvPr>
                  <xdr:cNvSpPr txBox="1"/>
                </xdr:nvSpPr>
                <xdr:spPr>
                  <a:xfrm>
                    <a:off x="14205857" y="21408073"/>
                    <a:ext cx="2976129" cy="410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𝑅_3=(2.</a:t>
                    </a:r>
                    <a:r>
                      <a:rPr lang="en-US" sz="1200" b="0" i="0">
                        <a:latin typeface="Cambria Math" panose="02040503050406030204" pitchFamily="18" charset="0"/>
                      </a:rPr>
                      <a:t>46</a:t>
                    </a:r>
                    <a:r>
                      <a:rPr lang="en-IN" sz="1200" b="0" i="0">
                        <a:latin typeface="Cambria Math" panose="02040503050406030204" pitchFamily="18" charset="0"/>
                      </a:rPr>
                      <a:t>𝑉∗𝑅_1∗〖𝑈𝑉𝐿𝑂〗_((𝑙𝑜𝑤𝑒𝑟)))/(〖𝑂𝑉𝐿𝑂〗_((𝑢𝑝𝑝𝑒𝑟))∗(〖𝑈𝑉𝐿𝑂〗_((𝑙𝑜𝑤𝑒𝑟) )−2.</a:t>
                    </a:r>
                    <a:r>
                      <a:rPr lang="en-US" sz="1200" b="0" i="0">
                        <a:latin typeface="Cambria Math" panose="02040503050406030204" pitchFamily="18" charset="0"/>
                      </a:rPr>
                      <a:t>48</a:t>
                    </a:r>
                    <a:r>
                      <a:rPr lang="en-IN" sz="1200" b="0" i="0">
                        <a:latin typeface="Cambria Math" panose="02040503050406030204" pitchFamily="18" charset="0"/>
                      </a:rPr>
                      <a:t>𝑉))</a:t>
                    </a:r>
                    <a:endParaRPr lang="en-IN" sz="1200"/>
                  </a:p>
                </xdr:txBody>
              </xdr:sp>
            </mc:Fallback>
          </mc:AlternateContent>
        </xdr:grpSp>
        <xdr:grpSp>
          <xdr:nvGrpSpPr>
            <xdr:cNvPr id="15" name="Group 14">
              <a:extLst>
                <a:ext uri="{FF2B5EF4-FFF2-40B4-BE49-F238E27FC236}">
                  <a16:creationId xmlns:a16="http://schemas.microsoft.com/office/drawing/2014/main" id="{FAD8A25B-90C0-4717-8140-C876E27F67E0}"/>
                </a:ext>
              </a:extLst>
            </xdr:cNvPr>
            <xdr:cNvGrpSpPr/>
          </xdr:nvGrpSpPr>
          <xdr:grpSpPr>
            <a:xfrm>
              <a:off x="13933714" y="23064107"/>
              <a:ext cx="2289188" cy="1851733"/>
              <a:chOff x="14205857" y="23064107"/>
              <a:chExt cx="2289188" cy="1851733"/>
            </a:xfrm>
          </xdr:grpSpPr>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F465FB6C-E252-4BA0-810C-2253AE0F0638}"/>
                      </a:ext>
                    </a:extLst>
                  </xdr:cNvPr>
                  <xdr:cNvSpPr txBox="1"/>
                </xdr:nvSpPr>
                <xdr:spPr>
                  <a:xfrm>
                    <a:off x="14205857" y="23064107"/>
                    <a:ext cx="2218784"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IN" sz="120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𝑅</m:t>
                              </m:r>
                            </m:e>
                            <m:sub>
                              <m:r>
                                <a:rPr lang="en-IN" sz="1200" b="0" i="1">
                                  <a:solidFill>
                                    <a:schemeClr val="tx1"/>
                                  </a:solidFill>
                                  <a:effectLst/>
                                  <a:latin typeface="Cambria Math" panose="02040503050406030204" pitchFamily="18" charset="0"/>
                                  <a:ea typeface="+mn-ea"/>
                                  <a:cs typeface="+mn-cs"/>
                                </a:rPr>
                                <m:t>1</m:t>
                              </m:r>
                            </m:sub>
                          </m:sSub>
                          <m:r>
                            <a:rPr lang="en-IN" sz="1200" b="0" i="1">
                              <a:solidFill>
                                <a:schemeClr val="tx1"/>
                              </a:solidFill>
                              <a:effectLst/>
                              <a:latin typeface="Cambria Math" panose="02040503050406030204" pitchFamily="18" charset="0"/>
                              <a:ea typeface="+mn-ea"/>
                              <a:cs typeface="+mn-cs"/>
                            </a:rPr>
                            <m:t>=</m:t>
                          </m:r>
                          <m:f>
                            <m:fPr>
                              <m:ctrlPr>
                                <a:rPr lang="en-IN" sz="1200" b="0" i="1">
                                  <a:solidFill>
                                    <a:schemeClr val="tx1"/>
                                  </a:solidFill>
                                  <a:effectLst/>
                                  <a:latin typeface="Cambria Math" panose="02040503050406030204" pitchFamily="18" charset="0"/>
                                  <a:ea typeface="+mn-ea"/>
                                  <a:cs typeface="+mn-cs"/>
                                </a:rPr>
                              </m:ctrlPr>
                            </m:fPr>
                            <m:num>
                              <m:sSub>
                                <m:sSubPr>
                                  <m:ctrlPr>
                                    <a:rPr lang="en-IN" sz="1200" b="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𝑈𝑉𝐿𝑂</m:t>
                                  </m:r>
                                </m:e>
                                <m:sub>
                                  <m:r>
                                    <a:rPr lang="en-IN" sz="1200" b="0" i="1">
                                      <a:solidFill>
                                        <a:schemeClr val="tx1"/>
                                      </a:solidFill>
                                      <a:effectLst/>
                                      <a:latin typeface="Cambria Math" panose="02040503050406030204" pitchFamily="18" charset="0"/>
                                      <a:ea typeface="+mn-ea"/>
                                      <a:cs typeface="+mn-cs"/>
                                    </a:rPr>
                                    <m:t>(</m:t>
                                  </m:r>
                                  <m:r>
                                    <a:rPr lang="en-IN" sz="1200" b="0" i="1">
                                      <a:solidFill>
                                        <a:schemeClr val="tx1"/>
                                      </a:solidFill>
                                      <a:effectLst/>
                                      <a:latin typeface="Cambria Math" panose="02040503050406030204" pitchFamily="18" charset="0"/>
                                      <a:ea typeface="+mn-ea"/>
                                      <a:cs typeface="+mn-cs"/>
                                    </a:rPr>
                                    <m:t>𝑢𝑝𝑝𝑒𝑟</m:t>
                                  </m:r>
                                  <m:r>
                                    <a:rPr lang="en-IN" sz="1200" b="0" i="1">
                                      <a:solidFill>
                                        <a:schemeClr val="tx1"/>
                                      </a:solidFill>
                                      <a:effectLst/>
                                      <a:latin typeface="Cambria Math" panose="02040503050406030204" pitchFamily="18" charset="0"/>
                                      <a:ea typeface="+mn-ea"/>
                                      <a:cs typeface="+mn-cs"/>
                                    </a:rPr>
                                    <m:t>)</m:t>
                                  </m:r>
                                </m:sub>
                              </m:sSub>
                              <m:r>
                                <a:rPr lang="en-IN" sz="1200" b="0" i="1">
                                  <a:solidFill>
                                    <a:schemeClr val="tx1"/>
                                  </a:solidFill>
                                  <a:effectLst/>
                                  <a:latin typeface="Cambria Math" panose="02040503050406030204" pitchFamily="18" charset="0"/>
                                  <a:ea typeface="+mn-ea"/>
                                  <a:cs typeface="+mn-cs"/>
                                </a:rPr>
                                <m:t>−</m:t>
                              </m:r>
                              <m:sSub>
                                <m:sSubPr>
                                  <m:ctrlPr>
                                    <a:rPr lang="en-IN" sz="1200" b="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𝑈𝑉𝐿𝑂</m:t>
                                  </m:r>
                                </m:e>
                                <m:sub>
                                  <m:r>
                                    <a:rPr lang="en-IN" sz="1200" b="0" i="1">
                                      <a:solidFill>
                                        <a:schemeClr val="tx1"/>
                                      </a:solidFill>
                                      <a:effectLst/>
                                      <a:latin typeface="Cambria Math" panose="02040503050406030204" pitchFamily="18" charset="0"/>
                                      <a:ea typeface="+mn-ea"/>
                                      <a:cs typeface="+mn-cs"/>
                                    </a:rPr>
                                    <m:t>(</m:t>
                                  </m:r>
                                  <m:r>
                                    <a:rPr lang="en-IN" sz="1200" b="0" i="1">
                                      <a:solidFill>
                                        <a:schemeClr val="tx1"/>
                                      </a:solidFill>
                                      <a:effectLst/>
                                      <a:latin typeface="Cambria Math" panose="02040503050406030204" pitchFamily="18" charset="0"/>
                                      <a:ea typeface="+mn-ea"/>
                                      <a:cs typeface="+mn-cs"/>
                                    </a:rPr>
                                    <m:t>𝑙𝑜𝑤𝑒𝑟</m:t>
                                  </m:r>
                                  <m:r>
                                    <a:rPr lang="en-IN" sz="1200" b="0" i="1">
                                      <a:solidFill>
                                        <a:schemeClr val="tx1"/>
                                      </a:solidFill>
                                      <a:effectLst/>
                                      <a:latin typeface="Cambria Math" panose="02040503050406030204" pitchFamily="18" charset="0"/>
                                      <a:ea typeface="+mn-ea"/>
                                      <a:cs typeface="+mn-cs"/>
                                    </a:rPr>
                                    <m:t>)</m:t>
                                  </m:r>
                                </m:sub>
                              </m:sSub>
                            </m:num>
                            <m:den>
                              <m:r>
                                <a:rPr lang="en-IN" sz="1200" b="0" i="1">
                                  <a:solidFill>
                                    <a:schemeClr val="tx1"/>
                                  </a:solidFill>
                                  <a:effectLst/>
                                  <a:latin typeface="Cambria Math" panose="02040503050406030204" pitchFamily="18" charset="0"/>
                                  <a:ea typeface="+mn-ea"/>
                                  <a:cs typeface="+mn-cs"/>
                                </a:rPr>
                                <m:t>2</m:t>
                              </m:r>
                              <m:r>
                                <a:rPr lang="en-US" sz="1200" b="0" i="1">
                                  <a:solidFill>
                                    <a:schemeClr val="tx1"/>
                                  </a:solidFill>
                                  <a:effectLst/>
                                  <a:latin typeface="Cambria Math" panose="02040503050406030204" pitchFamily="18" charset="0"/>
                                  <a:ea typeface="+mn-ea"/>
                                  <a:cs typeface="+mn-cs"/>
                                </a:rPr>
                                <m:t>0</m:t>
                              </m:r>
                              <m:r>
                                <a:rPr lang="en-IN" sz="1200" b="0" i="1">
                                  <a:solidFill>
                                    <a:schemeClr val="tx1"/>
                                  </a:solidFill>
                                  <a:effectLst/>
                                  <a:latin typeface="Cambria Math" panose="02040503050406030204" pitchFamily="18" charset="0"/>
                                  <a:ea typeface="+mn-ea"/>
                                  <a:cs typeface="+mn-cs"/>
                                </a:rPr>
                                <m:t>𝜇</m:t>
                              </m:r>
                              <m:r>
                                <a:rPr lang="en-IN" sz="1200" b="0" i="1">
                                  <a:solidFill>
                                    <a:schemeClr val="tx1"/>
                                  </a:solidFill>
                                  <a:effectLst/>
                                  <a:latin typeface="Cambria Math" panose="02040503050406030204" pitchFamily="18" charset="0"/>
                                  <a:ea typeface="+mn-ea"/>
                                  <a:cs typeface="+mn-cs"/>
                                </a:rPr>
                                <m:t>𝐴</m:t>
                              </m:r>
                            </m:den>
                          </m:f>
                        </m:oMath>
                      </m:oMathPara>
                    </a14:m>
                    <a:endParaRPr lang="en-IN" sz="1200">
                      <a:effectLst/>
                    </a:endParaRPr>
                  </a:p>
                </xdr:txBody>
              </xdr:sp>
            </mc:Choice>
            <mc:Fallback xmlns="">
              <xdr:sp macro="" textlink="">
                <xdr:nvSpPr>
                  <xdr:cNvPr id="30" name="TextBox 29">
                    <a:extLst>
                      <a:ext uri="{FF2B5EF4-FFF2-40B4-BE49-F238E27FC236}">
                        <a16:creationId xmlns:a16="http://schemas.microsoft.com/office/drawing/2014/main" id="{F465FB6C-E252-4BA0-810C-2253AE0F0638}"/>
                      </a:ext>
                    </a:extLst>
                  </xdr:cNvPr>
                  <xdr:cNvSpPr txBox="1"/>
                </xdr:nvSpPr>
                <xdr:spPr>
                  <a:xfrm>
                    <a:off x="14205857" y="23064107"/>
                    <a:ext cx="2218784"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200" b="0" i="0">
                        <a:solidFill>
                          <a:schemeClr val="tx1"/>
                        </a:solidFill>
                        <a:effectLst/>
                        <a:latin typeface="Cambria Math" panose="02040503050406030204" pitchFamily="18" charset="0"/>
                        <a:ea typeface="+mn-ea"/>
                        <a:cs typeface="+mn-cs"/>
                      </a:rPr>
                      <a:t>𝑅_1=(〖𝑈𝑉𝐿𝑂〗_((𝑢𝑝𝑝𝑒𝑟))−〖𝑈𝑉𝐿𝑂〗_((𝑙𝑜𝑤𝑒𝑟)))/2</a:t>
                    </a:r>
                    <a:r>
                      <a:rPr lang="en-US" sz="1200" b="0" i="0">
                        <a:solidFill>
                          <a:schemeClr val="tx1"/>
                        </a:solidFill>
                        <a:effectLst/>
                        <a:latin typeface="Cambria Math" panose="02040503050406030204" pitchFamily="18" charset="0"/>
                        <a:ea typeface="+mn-ea"/>
                        <a:cs typeface="+mn-cs"/>
                      </a:rPr>
                      <a:t>0</a:t>
                    </a:r>
                    <a:r>
                      <a:rPr lang="en-IN" sz="1200" b="0" i="0">
                        <a:solidFill>
                          <a:schemeClr val="tx1"/>
                        </a:solidFill>
                        <a:effectLst/>
                        <a:latin typeface="Cambria Math" panose="02040503050406030204" pitchFamily="18" charset="0"/>
                        <a:ea typeface="+mn-ea"/>
                        <a:cs typeface="+mn-cs"/>
                      </a:rPr>
                      <a:t>𝜇𝐴</a:t>
                    </a:r>
                    <a:endParaRPr lang="en-IN" sz="1200">
                      <a:effectLst/>
                    </a:endParaRPr>
                  </a:p>
                </xdr:txBody>
              </xdr:sp>
            </mc:Fallback>
          </mc:AlternateContent>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747D8B0A-D1C0-47ED-90DA-6909CC372F65}"/>
                      </a:ext>
                    </a:extLst>
                  </xdr:cNvPr>
                  <xdr:cNvSpPr txBox="1"/>
                </xdr:nvSpPr>
                <xdr:spPr>
                  <a:xfrm>
                    <a:off x="14205857" y="23531344"/>
                    <a:ext cx="1845457" cy="4023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2</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m:t>
                              </m:r>
                              <m:r>
                                <a:rPr lang="en-US" sz="1200" b="0" i="1">
                                  <a:latin typeface="Cambria Math" panose="02040503050406030204" pitchFamily="18" charset="0"/>
                                </a:rPr>
                                <m:t>48</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r>
                                <a:rPr lang="en-IN" sz="1200" b="0" i="1">
                                  <a:latin typeface="Cambria Math" panose="02040503050406030204" pitchFamily="18" charset="0"/>
                                </a:rPr>
                                <m:t>−2.</m:t>
                              </m:r>
                              <m:r>
                                <a:rPr lang="en-US" sz="1200" b="0" i="1">
                                  <a:latin typeface="Cambria Math" panose="02040503050406030204" pitchFamily="18" charset="0"/>
                                </a:rPr>
                                <m:t>48</m:t>
                              </m:r>
                              <m:r>
                                <a:rPr lang="en-IN" sz="1200" b="0" i="1">
                                  <a:latin typeface="Cambria Math" panose="02040503050406030204" pitchFamily="18" charset="0"/>
                                </a:rPr>
                                <m:t>𝑉</m:t>
                              </m:r>
                            </m:den>
                          </m:f>
                        </m:oMath>
                      </m:oMathPara>
                    </a14:m>
                    <a:endParaRPr lang="en-IN" sz="1200"/>
                  </a:p>
                </xdr:txBody>
              </xdr:sp>
            </mc:Choice>
            <mc:Fallback xmlns="">
              <xdr:sp macro="" textlink="">
                <xdr:nvSpPr>
                  <xdr:cNvPr id="31" name="TextBox 30">
                    <a:extLst>
                      <a:ext uri="{FF2B5EF4-FFF2-40B4-BE49-F238E27FC236}">
                        <a16:creationId xmlns:a16="http://schemas.microsoft.com/office/drawing/2014/main" id="{747D8B0A-D1C0-47ED-90DA-6909CC372F65}"/>
                      </a:ext>
                    </a:extLst>
                  </xdr:cNvPr>
                  <xdr:cNvSpPr txBox="1"/>
                </xdr:nvSpPr>
                <xdr:spPr>
                  <a:xfrm>
                    <a:off x="14205857" y="23531344"/>
                    <a:ext cx="1845457" cy="4023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𝑅_2=(2.</a:t>
                    </a:r>
                    <a:r>
                      <a:rPr lang="en-US" sz="1200" b="0" i="0">
                        <a:latin typeface="Cambria Math" panose="02040503050406030204" pitchFamily="18" charset="0"/>
                      </a:rPr>
                      <a:t>48</a:t>
                    </a:r>
                    <a:r>
                      <a:rPr lang="en-IN" sz="1200" b="0" i="0">
                        <a:latin typeface="Cambria Math" panose="02040503050406030204" pitchFamily="18" charset="0"/>
                      </a:rPr>
                      <a:t>𝑉∗𝑅_1)/(〖𝑈𝑉𝐿𝑂〗_((𝑙𝑜𝑤𝑒𝑟))−2.</a:t>
                    </a:r>
                    <a:r>
                      <a:rPr lang="en-US" sz="1200" b="0" i="0">
                        <a:latin typeface="Cambria Math" panose="02040503050406030204" pitchFamily="18" charset="0"/>
                      </a:rPr>
                      <a:t>48</a:t>
                    </a:r>
                    <a:r>
                      <a:rPr lang="en-IN" sz="1200" b="0" i="0">
                        <a:latin typeface="Cambria Math" panose="02040503050406030204" pitchFamily="18" charset="0"/>
                      </a:rPr>
                      <a:t>𝑉)</a:t>
                    </a:r>
                    <a:endParaRPr lang="en-IN" sz="1200"/>
                  </a:p>
                </xdr:txBody>
              </xdr:sp>
            </mc:Fallback>
          </mc:AlternateContent>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F0A5A701-5A24-4490-A230-859EBA09851E}"/>
                      </a:ext>
                    </a:extLst>
                  </xdr:cNvPr>
                  <xdr:cNvSpPr txBox="1"/>
                </xdr:nvSpPr>
                <xdr:spPr>
                  <a:xfrm>
                    <a:off x="14205857" y="24046258"/>
                    <a:ext cx="2289188"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r>
                                <a:rPr lang="en-IN" sz="1200" b="0" i="1">
                                  <a:latin typeface="Cambria Math" panose="02040503050406030204" pitchFamily="18" charset="0"/>
                                </a:rPr>
                                <m:t>21</m:t>
                              </m:r>
                              <m:r>
                                <a:rPr lang="en-IN" sz="1200" b="0" i="1">
                                  <a:latin typeface="Cambria Math" panose="02040503050406030204" pitchFamily="18" charset="0"/>
                                  <a:ea typeface="Cambria Math" panose="02040503050406030204" pitchFamily="18" charset="0"/>
                                </a:rPr>
                                <m:t>𝜇</m:t>
                              </m:r>
                              <m:r>
                                <a:rPr lang="en-IN" sz="1200" b="0" i="1">
                                  <a:latin typeface="Cambria Math" panose="02040503050406030204" pitchFamily="18" charset="0"/>
                                  <a:ea typeface="Cambria Math" panose="02040503050406030204" pitchFamily="18" charset="0"/>
                                </a:rPr>
                                <m:t>𝐴</m:t>
                              </m:r>
                            </m:den>
                          </m:f>
                        </m:oMath>
                      </m:oMathPara>
                    </a14:m>
                    <a:endParaRPr lang="en-IN" sz="1200" b="0"/>
                  </a:p>
                </xdr:txBody>
              </xdr:sp>
            </mc:Choice>
            <mc:Fallback xmlns="">
              <xdr:sp macro="" textlink="">
                <xdr:nvSpPr>
                  <xdr:cNvPr id="32" name="TextBox 31">
                    <a:extLst>
                      <a:ext uri="{FF2B5EF4-FFF2-40B4-BE49-F238E27FC236}">
                        <a16:creationId xmlns:a16="http://schemas.microsoft.com/office/drawing/2014/main" id="{F0A5A701-5A24-4490-A230-859EBA09851E}"/>
                      </a:ext>
                    </a:extLst>
                  </xdr:cNvPr>
                  <xdr:cNvSpPr txBox="1"/>
                </xdr:nvSpPr>
                <xdr:spPr>
                  <a:xfrm>
                    <a:off x="14205857" y="24046258"/>
                    <a:ext cx="2289188"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𝑅_3=(〖𝑂𝑉𝐿𝑂〗_((𝑢𝑝𝑝𝑒𝑟))−〖𝑂𝑉𝐿𝑂〗_((𝑙𝑜𝑤𝑒𝑟)))/21</a:t>
                    </a:r>
                    <a:r>
                      <a:rPr lang="en-IN" sz="1200" b="0" i="0">
                        <a:latin typeface="Cambria Math" panose="02040503050406030204" pitchFamily="18" charset="0"/>
                        <a:ea typeface="Cambria Math" panose="02040503050406030204" pitchFamily="18" charset="0"/>
                      </a:rPr>
                      <a:t>𝜇𝐴</a:t>
                    </a:r>
                    <a:endParaRPr lang="en-IN" sz="1200" b="0"/>
                  </a:p>
                </xdr:txBody>
              </xdr:sp>
            </mc:Fallback>
          </mc:AlternateContent>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1C16EEE-8D1B-4166-80C9-46F798054805}"/>
                      </a:ext>
                    </a:extLst>
                  </xdr:cNvPr>
                  <xdr:cNvSpPr txBox="1"/>
                </xdr:nvSpPr>
                <xdr:spPr>
                  <a:xfrm>
                    <a:off x="14205857" y="24513494"/>
                    <a:ext cx="1860711"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4</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m:t>
                              </m:r>
                              <m:r>
                                <a:rPr lang="en-US" sz="1200" b="0" i="1">
                                  <a:latin typeface="Cambria Math" panose="02040503050406030204" pitchFamily="18" charset="0"/>
                                </a:rPr>
                                <m:t>46</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−2.</m:t>
                              </m:r>
                              <m:r>
                                <a:rPr lang="en-US" sz="1200" b="0" i="1">
                                  <a:latin typeface="Cambria Math" panose="02040503050406030204" pitchFamily="18" charset="0"/>
                                </a:rPr>
                                <m:t>46</m:t>
                              </m:r>
                              <m:r>
                                <a:rPr lang="en-IN" sz="1200" b="0" i="1">
                                  <a:latin typeface="Cambria Math" panose="02040503050406030204" pitchFamily="18" charset="0"/>
                                </a:rPr>
                                <m:t>𝑉</m:t>
                              </m:r>
                            </m:den>
                          </m:f>
                        </m:oMath>
                      </m:oMathPara>
                    </a14:m>
                    <a:endParaRPr lang="en-IN" sz="1200"/>
                  </a:p>
                </xdr:txBody>
              </xdr:sp>
            </mc:Choice>
            <mc:Fallback xmlns="">
              <xdr:sp macro="" textlink="">
                <xdr:nvSpPr>
                  <xdr:cNvPr id="33" name="TextBox 32">
                    <a:extLst>
                      <a:ext uri="{FF2B5EF4-FFF2-40B4-BE49-F238E27FC236}">
                        <a16:creationId xmlns:a16="http://schemas.microsoft.com/office/drawing/2014/main" id="{01C16EEE-8D1B-4166-80C9-46F798054805}"/>
                      </a:ext>
                    </a:extLst>
                  </xdr:cNvPr>
                  <xdr:cNvSpPr txBox="1"/>
                </xdr:nvSpPr>
                <xdr:spPr>
                  <a:xfrm>
                    <a:off x="14205857" y="24513494"/>
                    <a:ext cx="1860711"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𝑅_4=(2.</a:t>
                    </a:r>
                    <a:r>
                      <a:rPr lang="en-US" sz="1200" b="0" i="0">
                        <a:latin typeface="Cambria Math" panose="02040503050406030204" pitchFamily="18" charset="0"/>
                      </a:rPr>
                      <a:t>46</a:t>
                    </a:r>
                    <a:r>
                      <a:rPr lang="en-IN" sz="1200" b="0" i="0">
                        <a:latin typeface="Cambria Math" panose="02040503050406030204" pitchFamily="18" charset="0"/>
                      </a:rPr>
                      <a:t>𝑉∗𝑅_3)/(〖𝑂𝑉𝐿𝑂〗_((𝑢𝑝𝑝𝑒𝑟))−2.</a:t>
                    </a:r>
                    <a:r>
                      <a:rPr lang="en-US" sz="1200" b="0" i="0">
                        <a:latin typeface="Cambria Math" panose="02040503050406030204" pitchFamily="18" charset="0"/>
                      </a:rPr>
                      <a:t>46</a:t>
                    </a:r>
                    <a:r>
                      <a:rPr lang="en-IN" sz="1200" b="0" i="0">
                        <a:latin typeface="Cambria Math" panose="02040503050406030204" pitchFamily="18" charset="0"/>
                      </a:rPr>
                      <a:t>𝑉)</a:t>
                    </a:r>
                    <a:endParaRPr lang="en-IN" sz="1200"/>
                  </a:p>
                </xdr:txBody>
              </xdr:sp>
            </mc:Fallback>
          </mc:AlternateContent>
        </xdr:grpSp>
      </xdr:grpSp>
    </xdr:grpSp>
    <xdr:clientData/>
  </xdr:twoCellAnchor>
  <xdr:oneCellAnchor>
    <xdr:from>
      <xdr:col>11</xdr:col>
      <xdr:colOff>86179</xdr:colOff>
      <xdr:row>35</xdr:row>
      <xdr:rowOff>40821</xdr:rowOff>
    </xdr:from>
    <xdr:ext cx="2825750" cy="565668"/>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EDE088B6-66D1-4BEC-837C-908EBF6775BE}"/>
                </a:ext>
              </a:extLst>
            </xdr:cNvPr>
            <xdr:cNvSpPr txBox="1"/>
          </xdr:nvSpPr>
          <xdr:spPr>
            <a:xfrm>
              <a:off x="14310179" y="7288892"/>
              <a:ext cx="2825750" cy="565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IN" sz="180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𝑆</m:t>
                        </m:r>
                        <m:r>
                          <a:rPr lang="en-IN" sz="1800" b="0" i="1">
                            <a:latin typeface="Cambria Math" panose="02040503050406030204" pitchFamily="18" charset="0"/>
                          </a:rPr>
                          <m:t>,</m:t>
                        </m:r>
                        <m:r>
                          <a:rPr lang="en-IN" sz="1800" b="0" i="1">
                            <a:latin typeface="Cambria Math" panose="02040503050406030204" pitchFamily="18" charset="0"/>
                          </a:rPr>
                          <m:t>𝐸𝐹𝐹</m:t>
                        </m:r>
                      </m:sub>
                    </m:sSub>
                    <m:r>
                      <a:rPr lang="en-IN" sz="1800" b="0" i="1">
                        <a:latin typeface="Cambria Math" panose="02040503050406030204" pitchFamily="18" charset="0"/>
                      </a:rPr>
                      <m:t>= </m:t>
                    </m:r>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𝑆</m:t>
                        </m:r>
                      </m:sub>
                    </m:sSub>
                    <m:r>
                      <a:rPr lang="en-IN" sz="1800" b="0" i="1">
                        <a:latin typeface="Cambria Math" panose="02040503050406030204" pitchFamily="18" charset="0"/>
                      </a:rPr>
                      <m:t>∗</m:t>
                    </m:r>
                    <m:f>
                      <m:fPr>
                        <m:ctrlPr>
                          <a:rPr lang="en-IN" sz="1800" b="0" i="1">
                            <a:latin typeface="Cambria Math" panose="02040503050406030204" pitchFamily="18" charset="0"/>
                          </a:rPr>
                        </m:ctrlPr>
                      </m:fPr>
                      <m:num>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1</m:t>
                            </m:r>
                          </m:sub>
                        </m:sSub>
                      </m:num>
                      <m:den>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1</m:t>
                            </m:r>
                          </m:sub>
                        </m:sSub>
                        <m:r>
                          <a:rPr lang="en-IN" sz="1800" b="0" i="1">
                            <a:latin typeface="Cambria Math" panose="02040503050406030204" pitchFamily="18" charset="0"/>
                          </a:rPr>
                          <m:t>+ </m:t>
                        </m:r>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2</m:t>
                            </m:r>
                          </m:sub>
                        </m:sSub>
                      </m:den>
                    </m:f>
                  </m:oMath>
                </m:oMathPara>
              </a14:m>
              <a:endParaRPr lang="en-IN" sz="1800"/>
            </a:p>
          </xdr:txBody>
        </xdr:sp>
      </mc:Choice>
      <mc:Fallback xmlns="">
        <xdr:sp macro="" textlink="">
          <xdr:nvSpPr>
            <xdr:cNvPr id="37" name="TextBox 36">
              <a:extLst>
                <a:ext uri="{FF2B5EF4-FFF2-40B4-BE49-F238E27FC236}">
                  <a16:creationId xmlns:a16="http://schemas.microsoft.com/office/drawing/2014/main" id="{EDE088B6-66D1-4BEC-837C-908EBF6775BE}"/>
                </a:ext>
              </a:extLst>
            </xdr:cNvPr>
            <xdr:cNvSpPr txBox="1"/>
          </xdr:nvSpPr>
          <xdr:spPr>
            <a:xfrm>
              <a:off x="14310179" y="7288892"/>
              <a:ext cx="2825750" cy="565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IN" sz="1800" b="0" i="0">
                  <a:latin typeface="Cambria Math" panose="02040503050406030204" pitchFamily="18" charset="0"/>
                </a:rPr>
                <a:t>𝑅_(𝑆,𝐸𝐹𝐹)= 𝑅_𝑆∗𝑅_𝐶𝐿1/(𝑅_𝐶𝐿1+ 𝑅_𝐶𝐿2 )</a:t>
              </a:r>
              <a:endParaRPr lang="en-IN" sz="1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9</xdr:col>
      <xdr:colOff>657225</xdr:colOff>
      <xdr:row>120</xdr:row>
      <xdr:rowOff>85725</xdr:rowOff>
    </xdr:from>
    <xdr:to>
      <xdr:col>16</xdr:col>
      <xdr:colOff>247650</xdr:colOff>
      <xdr:row>146</xdr:row>
      <xdr:rowOff>28575</xdr:rowOff>
    </xdr:to>
    <xdr:sp macro="" textlink="">
      <xdr:nvSpPr>
        <xdr:cNvPr id="2" name="Text Box 17">
          <a:extLst>
            <a:ext uri="{FF2B5EF4-FFF2-40B4-BE49-F238E27FC236}">
              <a16:creationId xmlns:a16="http://schemas.microsoft.com/office/drawing/2014/main" id="{00000000-0008-0000-0300-000002000000}"/>
            </a:ext>
          </a:extLst>
        </xdr:cNvPr>
        <xdr:cNvSpPr txBox="1">
          <a:spLocks noChangeArrowheads="1"/>
        </xdr:cNvSpPr>
      </xdr:nvSpPr>
      <xdr:spPr bwMode="auto">
        <a:xfrm>
          <a:off x="6924675" y="20164425"/>
          <a:ext cx="4029075" cy="41529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Option A</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R1 = </a:t>
          </a:r>
          <a:r>
            <a:rPr lang="en-US" sz="1000" b="0" i="0" u="sng" strike="noStrike" baseline="0">
              <a:solidFill>
                <a:srgbClr val="000000"/>
              </a:solidFill>
              <a:latin typeface="Arial"/>
              <a:cs typeface="Arial"/>
            </a:rPr>
            <a:t> UVLO</a:t>
          </a:r>
          <a:r>
            <a:rPr lang="en-US" sz="800" b="0" i="0" u="sng" strike="noStrike" baseline="0">
              <a:solidFill>
                <a:srgbClr val="000000"/>
              </a:solidFill>
              <a:latin typeface="Arial"/>
              <a:cs typeface="Arial"/>
            </a:rPr>
            <a:t>(upper)</a:t>
          </a:r>
          <a:r>
            <a:rPr lang="en-US" sz="1000" b="0" i="0" u="sng" strike="noStrike" baseline="0">
              <a:solidFill>
                <a:srgbClr val="000000"/>
              </a:solidFill>
              <a:latin typeface="Arial"/>
              <a:cs typeface="Arial"/>
            </a:rPr>
            <a:t> -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a:t>
          </a: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                     20 uA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R3 = </a:t>
          </a:r>
          <a:r>
            <a:rPr lang="en-US" sz="1000" b="0" i="0" u="sng" strike="noStrike" baseline="0">
              <a:solidFill>
                <a:srgbClr val="000000"/>
              </a:solidFill>
              <a:latin typeface="Arial"/>
              <a:cs typeface="Arial"/>
            </a:rPr>
            <a:t>         R1 x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x 2.46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x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- 2.48V)</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R2 =  </a:t>
          </a:r>
          <a:r>
            <a:rPr lang="en-US" sz="1000" b="0" i="0" u="sng" strike="noStrike" baseline="0">
              <a:solidFill>
                <a:srgbClr val="000000"/>
              </a:solidFill>
              <a:latin typeface="Arial"/>
              <a:cs typeface="Arial"/>
            </a:rPr>
            <a:t>       2.48V  x  R1      </a:t>
          </a:r>
          <a:r>
            <a:rPr lang="en-US" sz="1000" b="0" i="0" u="none" strike="noStrike" baseline="0">
              <a:solidFill>
                <a:srgbClr val="000000"/>
              </a:solidFill>
              <a:latin typeface="Arial"/>
              <a:cs typeface="Arial"/>
            </a:rPr>
            <a:t>    -  R3</a:t>
          </a:r>
        </a:p>
        <a:p>
          <a:pPr algn="l" rtl="0">
            <a:defRPr sz="1000"/>
          </a:pPr>
          <a:r>
            <a:rPr lang="en-US" sz="1000" b="0" i="0" u="none" strike="noStrike" baseline="0">
              <a:solidFill>
                <a:srgbClr val="000000"/>
              </a:solidFill>
              <a:latin typeface="Arial"/>
              <a:cs typeface="Arial"/>
            </a:rPr>
            <a:t>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- 2.48V</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2.48V + (R1 x  </a:t>
          </a:r>
          <a:r>
            <a:rPr lang="en-US" sz="1000" b="0" i="0" u="sng" strike="noStrike" baseline="0">
              <a:solidFill>
                <a:srgbClr val="000000"/>
              </a:solidFill>
              <a:latin typeface="Arial"/>
              <a:cs typeface="Arial"/>
            </a:rPr>
            <a:t>( 2.48V     </a:t>
          </a:r>
          <a:r>
            <a:rPr lang="en-US" sz="1000" b="0" i="0" u="none" strike="noStrike" baseline="0">
              <a:solidFill>
                <a:srgbClr val="000000"/>
              </a:solidFill>
              <a:latin typeface="Arial"/>
              <a:cs typeface="Arial"/>
            </a:rPr>
            <a:t> +  20uA)</a:t>
          </a:r>
        </a:p>
        <a:p>
          <a:pPr algn="l" rtl="0">
            <a:defRPr sz="1000"/>
          </a:pPr>
          <a:r>
            <a:rPr lang="en-US" sz="1000" b="0" i="0" u="none" strike="noStrike" baseline="0">
              <a:solidFill>
                <a:srgbClr val="000000"/>
              </a:solidFill>
              <a:latin typeface="Arial"/>
              <a:cs typeface="Arial"/>
            </a:rPr>
            <a:t>                                                           (R2 + R3)</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2.48V x </a:t>
          </a:r>
          <a:r>
            <a:rPr lang="en-US" sz="1000" b="0" i="0" u="sng" strike="noStrike" baseline="0">
              <a:solidFill>
                <a:srgbClr val="000000"/>
              </a:solidFill>
              <a:latin typeface="Arial"/>
              <a:cs typeface="Arial"/>
            </a:rPr>
            <a:t> (R1 + R2 + R3)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(R2 + R3)</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2.46V x (R1 + R2 + R3)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R3</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((R1 + R2) x ((</a:t>
          </a:r>
          <a:r>
            <a:rPr lang="en-US" sz="1000" b="0" i="0" u="sng" strike="noStrike" baseline="0">
              <a:solidFill>
                <a:srgbClr val="000000"/>
              </a:solidFill>
              <a:latin typeface="Arial"/>
              <a:cs typeface="Arial"/>
            </a:rPr>
            <a:t> 2.46V)</a:t>
          </a:r>
          <a:r>
            <a:rPr lang="en-US" sz="1000" b="0" i="0" u="none" strike="noStrike" baseline="0">
              <a:solidFill>
                <a:srgbClr val="000000"/>
              </a:solidFill>
              <a:latin typeface="Arial"/>
              <a:cs typeface="Arial"/>
            </a:rPr>
            <a:t>  -  21uA)) + 2.46V</a:t>
          </a:r>
        </a:p>
        <a:p>
          <a:pPr algn="l" rtl="0">
            <a:defRPr sz="1000"/>
          </a:pPr>
          <a:r>
            <a:rPr lang="en-US" sz="1000" b="0" i="0" u="none" strike="noStrike" baseline="0">
              <a:solidFill>
                <a:srgbClr val="000000"/>
              </a:solidFill>
              <a:latin typeface="Arial"/>
              <a:cs typeface="Arial"/>
            </a:rPr>
            <a:t>                                                            R3</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6</xdr:col>
      <xdr:colOff>38100</xdr:colOff>
      <xdr:row>169</xdr:row>
      <xdr:rowOff>133350</xdr:rowOff>
    </xdr:from>
    <xdr:to>
      <xdr:col>9</xdr:col>
      <xdr:colOff>276225</xdr:colOff>
      <xdr:row>180</xdr:row>
      <xdr:rowOff>142875</xdr:rowOff>
    </xdr:to>
    <xdr:sp macro="" textlink="">
      <xdr:nvSpPr>
        <xdr:cNvPr id="3" name="Text Box 98">
          <a:extLst>
            <a:ext uri="{FF2B5EF4-FFF2-40B4-BE49-F238E27FC236}">
              <a16:creationId xmlns:a16="http://schemas.microsoft.com/office/drawing/2014/main" id="{00000000-0008-0000-0300-000003000000}"/>
            </a:ext>
          </a:extLst>
        </xdr:cNvPr>
        <xdr:cNvSpPr txBox="1">
          <a:spLocks noChangeArrowheads="1"/>
        </xdr:cNvSpPr>
      </xdr:nvSpPr>
      <xdr:spPr bwMode="auto">
        <a:xfrm>
          <a:off x="32308800" y="16125825"/>
          <a:ext cx="2838450" cy="17907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Rpwr = 1.428 x 10</a:t>
          </a:r>
          <a:r>
            <a:rPr lang="en-US" sz="1000" b="0" i="0" u="none" strike="noStrike" baseline="30000">
              <a:solidFill>
                <a:srgbClr val="000000"/>
              </a:solidFill>
              <a:latin typeface="Arial"/>
              <a:cs typeface="Arial"/>
            </a:rPr>
            <a:t>5</a:t>
          </a:r>
          <a:r>
            <a:rPr lang="en-US" sz="1000" b="0" i="0" u="none" strike="noStrike" baseline="0">
              <a:solidFill>
                <a:srgbClr val="000000"/>
              </a:solidFill>
              <a:latin typeface="Arial"/>
              <a:cs typeface="Arial"/>
            </a:rPr>
            <a:t> x Rs x P</a:t>
          </a:r>
          <a:r>
            <a:rPr lang="en-US" sz="1000" b="0" i="0" u="none" strike="noStrike" baseline="-25000">
              <a:solidFill>
                <a:srgbClr val="000000"/>
              </a:solidFill>
              <a:latin typeface="Arial"/>
              <a:cs typeface="Arial"/>
            </a:rPr>
            <a:t>FET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FET(min)</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4.44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FET(typ)</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5.85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FET(max)</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7.25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xdr:txBody>
    </xdr:sp>
    <xdr:clientData/>
  </xdr:twoCellAnchor>
  <xdr:twoCellAnchor>
    <xdr:from>
      <xdr:col>16</xdr:col>
      <xdr:colOff>333375</xdr:colOff>
      <xdr:row>120</xdr:row>
      <xdr:rowOff>85725</xdr:rowOff>
    </xdr:from>
    <xdr:to>
      <xdr:col>23</xdr:col>
      <xdr:colOff>95250</xdr:colOff>
      <xdr:row>146</xdr:row>
      <xdr:rowOff>28575</xdr:rowOff>
    </xdr:to>
    <xdr:sp macro="" textlink="">
      <xdr:nvSpPr>
        <xdr:cNvPr id="4" name="Text Box 17">
          <a:extLst>
            <a:ext uri="{FF2B5EF4-FFF2-40B4-BE49-F238E27FC236}">
              <a16:creationId xmlns:a16="http://schemas.microsoft.com/office/drawing/2014/main" id="{00000000-0008-0000-0300-000004000000}"/>
            </a:ext>
          </a:extLst>
        </xdr:cNvPr>
        <xdr:cNvSpPr txBox="1">
          <a:spLocks noChangeArrowheads="1"/>
        </xdr:cNvSpPr>
      </xdr:nvSpPr>
      <xdr:spPr bwMode="auto">
        <a:xfrm>
          <a:off x="11039475" y="20164425"/>
          <a:ext cx="4029075" cy="41529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Option B</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R1 = </a:t>
          </a:r>
          <a:r>
            <a:rPr lang="en-US" sz="1000" b="0" i="0" u="sng" strike="noStrike" baseline="0">
              <a:solidFill>
                <a:srgbClr val="000000"/>
              </a:solidFill>
              <a:latin typeface="Arial"/>
              <a:cs typeface="Arial"/>
            </a:rPr>
            <a:t> UVLO</a:t>
          </a:r>
          <a:r>
            <a:rPr lang="en-US" sz="800" b="0" i="0" u="sng" strike="noStrike" baseline="0">
              <a:solidFill>
                <a:srgbClr val="000000"/>
              </a:solidFill>
              <a:latin typeface="Arial"/>
              <a:cs typeface="Arial"/>
            </a:rPr>
            <a:t>(upper)</a:t>
          </a:r>
          <a:r>
            <a:rPr lang="en-US" sz="1000" b="0" i="0" u="sng" strike="noStrike" baseline="0">
              <a:solidFill>
                <a:srgbClr val="000000"/>
              </a:solidFill>
              <a:latin typeface="Arial"/>
              <a:cs typeface="Arial"/>
            </a:rPr>
            <a:t> -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a:t>
          </a: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                     20 uA </a:t>
          </a: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R2 =  </a:t>
          </a:r>
          <a:r>
            <a:rPr lang="en-US" sz="1100" b="0" i="0" u="sng" baseline="0">
              <a:effectLst/>
              <a:latin typeface="+mn-lt"/>
              <a:ea typeface="+mn-ea"/>
              <a:cs typeface="+mn-cs"/>
            </a:rPr>
            <a:t>       2.48V  x  R1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UVLO(lower) - 2.48V</a:t>
          </a:r>
          <a:endParaRPr lang="en-US" sz="1000">
            <a:effectLst/>
          </a:endParaRP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R3 = </a:t>
          </a:r>
          <a:r>
            <a:rPr lang="en-US" sz="1100" b="0" i="0" u="sng" baseline="0">
              <a:effectLst/>
              <a:latin typeface="+mn-lt"/>
              <a:ea typeface="+mn-ea"/>
              <a:cs typeface="+mn-cs"/>
            </a:rPr>
            <a:t> OVLO(upper) - OVLO(lower)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21 uA </a:t>
          </a:r>
          <a:endParaRPr lang="en-US" sz="1000">
            <a:effectLst/>
          </a:endParaRP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R4 =  </a:t>
          </a:r>
          <a:r>
            <a:rPr lang="en-US" sz="1100" b="0" i="0" u="sng" baseline="0">
              <a:effectLst/>
              <a:latin typeface="+mn-lt"/>
              <a:ea typeface="+mn-ea"/>
              <a:cs typeface="+mn-cs"/>
            </a:rPr>
            <a:t>       2.46V  x  R3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OVLO(upper) - 2.46V</a:t>
          </a:r>
          <a:endParaRPr lang="en-US" sz="1000">
            <a:effectLst/>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2.48V + (R1 x  </a:t>
          </a:r>
          <a:r>
            <a:rPr lang="en-US" sz="1000" b="0" i="0" u="sng" strike="noStrike" baseline="0">
              <a:solidFill>
                <a:srgbClr val="000000"/>
              </a:solidFill>
              <a:latin typeface="Arial"/>
              <a:cs typeface="Arial"/>
            </a:rPr>
            <a:t>( 2.48V     </a:t>
          </a:r>
          <a:r>
            <a:rPr lang="en-US" sz="1000" b="0" i="0" u="none" strike="noStrike" baseline="0">
              <a:solidFill>
                <a:srgbClr val="000000"/>
              </a:solidFill>
              <a:latin typeface="Arial"/>
              <a:cs typeface="Arial"/>
            </a:rPr>
            <a:t> +  20uA)</a:t>
          </a:r>
        </a:p>
        <a:p>
          <a:pPr algn="l" rtl="0">
            <a:defRPr sz="1000"/>
          </a:pPr>
          <a:r>
            <a:rPr lang="en-US" sz="1000" b="0" i="0" u="none" strike="noStrike" baseline="0">
              <a:solidFill>
                <a:srgbClr val="000000"/>
              </a:solidFill>
              <a:latin typeface="Arial"/>
              <a:cs typeface="Arial"/>
            </a:rPr>
            <a:t>                                                                 R2</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2.48V x </a:t>
          </a:r>
          <a:r>
            <a:rPr lang="en-US" sz="1000" b="0" i="0" u="sng" strike="noStrike" baseline="0">
              <a:solidFill>
                <a:srgbClr val="000000"/>
              </a:solidFill>
              <a:latin typeface="Arial"/>
              <a:cs typeface="Arial"/>
            </a:rPr>
            <a:t> (R1 + R2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(R2)</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(R3 x ((</a:t>
          </a:r>
          <a:r>
            <a:rPr lang="en-US" sz="1000" b="0" i="0" u="sng" strike="noStrike" baseline="0">
              <a:solidFill>
                <a:srgbClr val="000000"/>
              </a:solidFill>
              <a:latin typeface="Arial"/>
              <a:cs typeface="Arial"/>
            </a:rPr>
            <a:t> 2.46V)</a:t>
          </a:r>
          <a:r>
            <a:rPr lang="en-US" sz="1000" b="0" i="0" u="none" strike="noStrike" baseline="0">
              <a:solidFill>
                <a:srgbClr val="000000"/>
              </a:solidFill>
              <a:latin typeface="Arial"/>
              <a:cs typeface="Arial"/>
            </a:rPr>
            <a:t>  -  21uA)) + 2.46V</a:t>
          </a:r>
        </a:p>
        <a:p>
          <a:pPr algn="l" rtl="0">
            <a:defRPr sz="1000"/>
          </a:pPr>
          <a:r>
            <a:rPr lang="en-US" sz="1000" b="0" i="0" u="none" strike="noStrike" baseline="0">
              <a:solidFill>
                <a:srgbClr val="000000"/>
              </a:solidFill>
              <a:latin typeface="Arial"/>
              <a:cs typeface="Arial"/>
            </a:rPr>
            <a:t>                                                   R4</a:t>
          </a: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563880</xdr:colOff>
      <xdr:row>26</xdr:row>
      <xdr:rowOff>87630</xdr:rowOff>
    </xdr:from>
    <xdr:to>
      <xdr:col>28</xdr:col>
      <xdr:colOff>388620</xdr:colOff>
      <xdr:row>46</xdr:row>
      <xdr:rowOff>137160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s08.itg.ti.com/Users/a0872642/Desktop/Excell%20Tools/TPS24720_design_calc_1_14_1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s08.itg.ti.com/Users/a0872642/Desktop/Excell%20Tools/TPS24720_design_calc_1_14_14_74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LIM_SOA_considerations"/>
      <sheetName val="Worksheet"/>
      <sheetName val="SOA"/>
      <sheetName val="Device Parmaters"/>
    </sheetNames>
    <sheetDataSet>
      <sheetData sheetId="0"/>
      <sheetData sheetId="1">
        <row r="9">
          <cell r="C9">
            <v>0.5</v>
          </cell>
        </row>
        <row r="15">
          <cell r="C15">
            <v>50</v>
          </cell>
        </row>
        <row r="23">
          <cell r="C23">
            <v>12.6</v>
          </cell>
        </row>
        <row r="25">
          <cell r="C25">
            <v>42</v>
          </cell>
        </row>
        <row r="30">
          <cell r="C30">
            <v>1</v>
          </cell>
        </row>
        <row r="40">
          <cell r="C40">
            <v>45</v>
          </cell>
        </row>
        <row r="45">
          <cell r="C45">
            <v>13.214879379662346</v>
          </cell>
        </row>
        <row r="46">
          <cell r="C46">
            <v>1.2333333333333334</v>
          </cell>
        </row>
        <row r="47">
          <cell r="C47">
            <v>14.44821271299568</v>
          </cell>
        </row>
        <row r="52">
          <cell r="C52">
            <v>61.344890223835883</v>
          </cell>
        </row>
        <row r="61">
          <cell r="C61">
            <v>1650</v>
          </cell>
        </row>
        <row r="67">
          <cell r="C67">
            <v>2.2000000000000001E-7</v>
          </cell>
        </row>
      </sheetData>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LIM_SOA_considerations"/>
      <sheetName val="Worksheet"/>
      <sheetName val="SOA"/>
    </sheetNames>
    <sheetDataSet>
      <sheetData sheetId="0"/>
      <sheetData sheetId="1">
        <row r="9">
          <cell r="C9">
            <v>0.5</v>
          </cell>
        </row>
        <row r="15">
          <cell r="C15">
            <v>50</v>
          </cell>
        </row>
        <row r="23">
          <cell r="C23">
            <v>12.6</v>
          </cell>
        </row>
        <row r="25">
          <cell r="C25">
            <v>42</v>
          </cell>
        </row>
        <row r="30">
          <cell r="C30">
            <v>1</v>
          </cell>
        </row>
        <row r="40">
          <cell r="C40">
            <v>45</v>
          </cell>
        </row>
        <row r="45">
          <cell r="C45">
            <v>13.214879379662346</v>
          </cell>
        </row>
        <row r="46">
          <cell r="C46">
            <v>0.74</v>
          </cell>
        </row>
        <row r="47">
          <cell r="C47">
            <v>13.954879379662346</v>
          </cell>
        </row>
        <row r="52">
          <cell r="C52">
            <v>62.580553546791855</v>
          </cell>
        </row>
        <row r="61">
          <cell r="C61">
            <v>1650</v>
          </cell>
        </row>
        <row r="67">
          <cell r="C67">
            <v>2.2000000000000001E-7</v>
          </cell>
        </row>
      </sheetData>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C00E14E-2AF7-4C05-B89B-2792B9134BCF}" name="Table1" displayName="Table1" ref="AS53:AW71" totalsRowShown="0" headerRowDxfId="65">
  <autoFilter ref="AS53:AW71" xr:uid="{DBA176A9-B3D3-4290-B1AD-B5AE2E1CDFC6}"/>
  <sortState xmlns:xlrd2="http://schemas.microsoft.com/office/spreadsheetml/2017/richdata2" ref="AS54:AW71">
    <sortCondition descending="1" ref="AW54:AW71"/>
    <sortCondition ref="AU54:AU71"/>
  </sortState>
  <tableColumns count="5">
    <tableColumn id="1" xr3:uid="{166C3A13-26A4-410F-B47A-D13DF7EFA53F}" name="FET part number (24V)"/>
    <tableColumn id="2" xr3:uid="{904CBA59-8C5F-48C6-AF01-96D03C92EC53}" name="FET display name (24V)">
      <calculatedColumnFormula>AS54&amp;" , "&amp;ROUND(AW54,2)&amp;" , $"&amp;AU54</calculatedColumnFormula>
    </tableColumn>
    <tableColumn id="3" xr3:uid="{703A320D-A12C-4E7A-99A1-04C0FCEEF3EC}" name="cost" dataDxfId="64"/>
    <tableColumn id="4" xr3:uid="{3CCAC4F3-A71F-4A3C-A471-57AF638F0743}" name="power dissipation" dataDxfId="63"/>
    <tableColumn id="5" xr3:uid="{B832E062-8A22-4FAB-ABF7-35B7AD4B995D}" name="SOA margin" dataDxfId="6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A29A5EA-3E37-4A0B-BBB6-60BE721A71D0}" name="Table2" displayName="Table2" ref="AZ53:BD63" totalsRowShown="0" headerRowDxfId="61">
  <autoFilter ref="AZ53:BD63" xr:uid="{133531EB-0248-42D9-AE1F-2FF2C1A7B323}"/>
  <sortState xmlns:xlrd2="http://schemas.microsoft.com/office/spreadsheetml/2017/richdata2" ref="AZ54:BD63">
    <sortCondition descending="1" ref="BD54:BD63"/>
    <sortCondition ref="BB54:BB63"/>
  </sortState>
  <tableColumns count="5">
    <tableColumn id="1" xr3:uid="{979B4C9E-9E0F-4E65-A401-EA5C64BA6541}" name="FET part number (48V)"/>
    <tableColumn id="2" xr3:uid="{C1D990B6-B4D3-4641-A008-28A9AFBA1E51}" name="FET display name (48V)">
      <calculatedColumnFormula>AZ54&amp;" , "&amp;ROUND(BD54,2)&amp;" , $"&amp;BB54</calculatedColumnFormula>
    </tableColumn>
    <tableColumn id="3" xr3:uid="{141E041E-8451-4794-AFA5-4143A8419100}" name="cost" dataDxfId="60"/>
    <tableColumn id="4" xr3:uid="{2130F99C-4BB4-4521-901C-195F3D16FDD3}" name="power dissipation" dataDxfId="59"/>
    <tableColumn id="5" xr3:uid="{C6676D48-A0C4-4E09-A4FC-4FCA2BBB0BB9}" name="SOA margin" dataDxfId="58"/>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ti.com/lit/ds/symlink/lm5066i.pdf" TargetMode="External"/><Relationship Id="rId1" Type="http://schemas.openxmlformats.org/officeDocument/2006/relationships/hyperlink" Target="https://www.ti.com/lit/an/slva673a/slva673a.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hyperlink" Target="https://e2e.ti.com/" TargetMode="External"/><Relationship Id="rId7" Type="http://schemas.openxmlformats.org/officeDocument/2006/relationships/table" Target="../tables/table1.xml"/><Relationship Id="rId2" Type="http://schemas.openxmlformats.org/officeDocument/2006/relationships/hyperlink" Target="http://www.ti.com/product/lm5066i" TargetMode="External"/><Relationship Id="rId1" Type="http://schemas.openxmlformats.org/officeDocument/2006/relationships/hyperlink" Target="http://www.ti.com/hotswap" TargetMode="Externa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www.ti.com/product/CSD18532NQ5B" TargetMode="External"/><Relationship Id="rId18" Type="http://schemas.openxmlformats.org/officeDocument/2006/relationships/hyperlink" Target="https://www.ti.com/lit/gpn/csd19502q5b" TargetMode="External"/><Relationship Id="rId26" Type="http://schemas.openxmlformats.org/officeDocument/2006/relationships/hyperlink" Target="https://www.ti.com/lit/gpn/csd19501kcs" TargetMode="External"/><Relationship Id="rId3" Type="http://schemas.openxmlformats.org/officeDocument/2006/relationships/hyperlink" Target="https://www.ti.com/product/CSD18535KTT" TargetMode="External"/><Relationship Id="rId21" Type="http://schemas.openxmlformats.org/officeDocument/2006/relationships/hyperlink" Target="https://www.ti.com/product/CSD18531Q5A" TargetMode="External"/><Relationship Id="rId34" Type="http://schemas.openxmlformats.org/officeDocument/2006/relationships/hyperlink" Target="https://www.ti.com/lit/gpn/csd18543q3a" TargetMode="External"/><Relationship Id="rId7" Type="http://schemas.openxmlformats.org/officeDocument/2006/relationships/hyperlink" Target="https://www.ti.com/product/CSD19506KTT" TargetMode="External"/><Relationship Id="rId12" Type="http://schemas.openxmlformats.org/officeDocument/2006/relationships/hyperlink" Target="https://www.ti.com/lit/gpn/csd18532q5b" TargetMode="External"/><Relationship Id="rId17" Type="http://schemas.openxmlformats.org/officeDocument/2006/relationships/hyperlink" Target="https://www.ti.com/product/CSD19502Q5B" TargetMode="External"/><Relationship Id="rId25" Type="http://schemas.openxmlformats.org/officeDocument/2006/relationships/hyperlink" Target="https://www.ti.com/product/CSD19501KCS" TargetMode="External"/><Relationship Id="rId33" Type="http://schemas.openxmlformats.org/officeDocument/2006/relationships/hyperlink" Target="https://www.ti.com/product/CSD18543Q3A" TargetMode="External"/><Relationship Id="rId2" Type="http://schemas.openxmlformats.org/officeDocument/2006/relationships/hyperlink" Target="https://www.ti.com/lit/gpn/csd18536ktt" TargetMode="External"/><Relationship Id="rId16" Type="http://schemas.openxmlformats.org/officeDocument/2006/relationships/hyperlink" Target="https://www.ti.com/lit/gpn/csd18542ktt" TargetMode="External"/><Relationship Id="rId20" Type="http://schemas.openxmlformats.org/officeDocument/2006/relationships/hyperlink" Target="https://www.ti.com/lit/gpn/csd18532kcs" TargetMode="External"/><Relationship Id="rId29" Type="http://schemas.openxmlformats.org/officeDocument/2006/relationships/hyperlink" Target="https://www.ti.com/product/CSD19503KCS" TargetMode="External"/><Relationship Id="rId1" Type="http://schemas.openxmlformats.org/officeDocument/2006/relationships/hyperlink" Target="https://www.ti.com/product/CSD18536KTT" TargetMode="External"/><Relationship Id="rId6" Type="http://schemas.openxmlformats.org/officeDocument/2006/relationships/hyperlink" Target="https://www.ti.com/lit/gpn/csd18540q5b" TargetMode="External"/><Relationship Id="rId11" Type="http://schemas.openxmlformats.org/officeDocument/2006/relationships/hyperlink" Target="https://www.ti.com/product/CSD18532Q5B" TargetMode="External"/><Relationship Id="rId24" Type="http://schemas.openxmlformats.org/officeDocument/2006/relationships/hyperlink" Target="https://www.ti.com/lit/gpn/csd18533q5a" TargetMode="External"/><Relationship Id="rId32" Type="http://schemas.openxmlformats.org/officeDocument/2006/relationships/hyperlink" Target="https://www.ti.com/product/CSD18534Q5A" TargetMode="External"/><Relationship Id="rId5" Type="http://schemas.openxmlformats.org/officeDocument/2006/relationships/hyperlink" Target="https://www.ti.com/product/CSD18540Q5B" TargetMode="External"/><Relationship Id="rId15" Type="http://schemas.openxmlformats.org/officeDocument/2006/relationships/hyperlink" Target="https://www.ti.com/product/CSD18542KTT" TargetMode="External"/><Relationship Id="rId23" Type="http://schemas.openxmlformats.org/officeDocument/2006/relationships/hyperlink" Target="https://www.ti.com/product/CSD18533Q5A" TargetMode="External"/><Relationship Id="rId28" Type="http://schemas.openxmlformats.org/officeDocument/2006/relationships/hyperlink" Target="https://www.ti.com/lit/gpn/csd18563q5a" TargetMode="External"/><Relationship Id="rId36" Type="http://schemas.openxmlformats.org/officeDocument/2006/relationships/hyperlink" Target="https://www.ti.com/lit/gpn/csd18537nq5a" TargetMode="External"/><Relationship Id="rId10" Type="http://schemas.openxmlformats.org/officeDocument/2006/relationships/hyperlink" Target="https://www.ti.com/lit/gpn/csd19505ktt" TargetMode="External"/><Relationship Id="rId19" Type="http://schemas.openxmlformats.org/officeDocument/2006/relationships/hyperlink" Target="https://www.ti.com/product/CSD18532KCS" TargetMode="External"/><Relationship Id="rId31" Type="http://schemas.openxmlformats.org/officeDocument/2006/relationships/hyperlink" Target="https://www.ti.com/lit/gpn/csd18534q5a" TargetMode="External"/><Relationship Id="rId4" Type="http://schemas.openxmlformats.org/officeDocument/2006/relationships/hyperlink" Target="https://www.ti.com/lit/gpn/csd18535ktt" TargetMode="External"/><Relationship Id="rId9" Type="http://schemas.openxmlformats.org/officeDocument/2006/relationships/hyperlink" Target="https://www.ti.com/product/CSD19505KTT" TargetMode="External"/><Relationship Id="rId14" Type="http://schemas.openxmlformats.org/officeDocument/2006/relationships/hyperlink" Target="https://www.ti.com/lit/gpn/csd18532nq5b" TargetMode="External"/><Relationship Id="rId22" Type="http://schemas.openxmlformats.org/officeDocument/2006/relationships/hyperlink" Target="https://www.ti.com/lit/gpn/csd18531q5a" TargetMode="External"/><Relationship Id="rId27" Type="http://schemas.openxmlformats.org/officeDocument/2006/relationships/hyperlink" Target="https://www.ti.com/product/CSD18563Q5A" TargetMode="External"/><Relationship Id="rId30" Type="http://schemas.openxmlformats.org/officeDocument/2006/relationships/hyperlink" Target="https://www.ti.com/lit/gpn/csd19503kcs" TargetMode="External"/><Relationship Id="rId35" Type="http://schemas.openxmlformats.org/officeDocument/2006/relationships/hyperlink" Target="https://www.ti.com/product/CSD18537NQ5A" TargetMode="External"/><Relationship Id="rId8" Type="http://schemas.openxmlformats.org/officeDocument/2006/relationships/hyperlink" Target="https://www.ti.com/lit/gpn/csd19506ktt"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ti.com/lit/gpn/csd19532ktt" TargetMode="External"/><Relationship Id="rId13" Type="http://schemas.openxmlformats.org/officeDocument/2006/relationships/hyperlink" Target="https://www.ti.com/product/CSD19537Q3" TargetMode="External"/><Relationship Id="rId18" Type="http://schemas.openxmlformats.org/officeDocument/2006/relationships/hyperlink" Target="https://www.ti.com/lit/gpn/csd19538q2" TargetMode="External"/><Relationship Id="rId3" Type="http://schemas.openxmlformats.org/officeDocument/2006/relationships/hyperlink" Target="https://www.ti.com/product/CSD19535KTT" TargetMode="External"/><Relationship Id="rId7" Type="http://schemas.openxmlformats.org/officeDocument/2006/relationships/hyperlink" Target="https://www.ti.com/product/CSD19532KTT" TargetMode="External"/><Relationship Id="rId12" Type="http://schemas.openxmlformats.org/officeDocument/2006/relationships/hyperlink" Target="https://www.ti.com/lit/gpn/csd19533q5a" TargetMode="External"/><Relationship Id="rId17" Type="http://schemas.openxmlformats.org/officeDocument/2006/relationships/hyperlink" Target="https://www.ti.com/product/CSD19538Q2" TargetMode="External"/><Relationship Id="rId2" Type="http://schemas.openxmlformats.org/officeDocument/2006/relationships/hyperlink" Target="https://www.ti.com/lit/gpn/csd19536ktt" TargetMode="External"/><Relationship Id="rId16" Type="http://schemas.openxmlformats.org/officeDocument/2006/relationships/hyperlink" Target="https://www.ti.com/lit/gpn/csd19534q5a" TargetMode="External"/><Relationship Id="rId20" Type="http://schemas.openxmlformats.org/officeDocument/2006/relationships/hyperlink" Target="https://www.ti.com/lit/gpn/csd19538q3a" TargetMode="External"/><Relationship Id="rId1" Type="http://schemas.openxmlformats.org/officeDocument/2006/relationships/hyperlink" Target="https://www.ti.com/product/CSD19536KTT" TargetMode="External"/><Relationship Id="rId6" Type="http://schemas.openxmlformats.org/officeDocument/2006/relationships/hyperlink" Target="https://www.ti.com/lit/gpn/csd19532q5b" TargetMode="External"/><Relationship Id="rId11" Type="http://schemas.openxmlformats.org/officeDocument/2006/relationships/hyperlink" Target="https://www.ti.com/product/CSD19533Q5A" TargetMode="External"/><Relationship Id="rId5" Type="http://schemas.openxmlformats.org/officeDocument/2006/relationships/hyperlink" Target="https://www.ti.com/product/CSD19532Q5B" TargetMode="External"/><Relationship Id="rId15" Type="http://schemas.openxmlformats.org/officeDocument/2006/relationships/hyperlink" Target="https://www.ti.com/product/CSD19534Q5A" TargetMode="External"/><Relationship Id="rId10" Type="http://schemas.openxmlformats.org/officeDocument/2006/relationships/hyperlink" Target="https://www.ti.com/lit/gpn/csd19531q5a" TargetMode="External"/><Relationship Id="rId19" Type="http://schemas.openxmlformats.org/officeDocument/2006/relationships/hyperlink" Target="https://www.ti.com/product/CSD19538Q3A" TargetMode="External"/><Relationship Id="rId4" Type="http://schemas.openxmlformats.org/officeDocument/2006/relationships/hyperlink" Target="https://www.ti.com/lit/gpn/csd19535ktt" TargetMode="External"/><Relationship Id="rId9" Type="http://schemas.openxmlformats.org/officeDocument/2006/relationships/hyperlink" Target="https://www.ti.com/product/CSD19531Q5A" TargetMode="External"/><Relationship Id="rId14" Type="http://schemas.openxmlformats.org/officeDocument/2006/relationships/hyperlink" Target="https://www.ti.com/lit/gpn/csd19537q3"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24"/>
  <sheetViews>
    <sheetView topLeftCell="A100" zoomScaleNormal="100" workbookViewId="0">
      <selection activeCell="H43" sqref="H43"/>
    </sheetView>
  </sheetViews>
  <sheetFormatPr defaultRowHeight="13.2" x14ac:dyDescent="0.25"/>
  <cols>
    <col min="5" max="5" width="5.109375" customWidth="1"/>
    <col min="16" max="16" width="16.5546875" customWidth="1"/>
  </cols>
  <sheetData>
    <row r="1" spans="1:16" ht="13.8" thickTop="1" x14ac:dyDescent="0.25">
      <c r="A1" s="183"/>
      <c r="B1" s="184"/>
      <c r="C1" s="184"/>
      <c r="D1" s="184"/>
      <c r="E1" s="184"/>
      <c r="F1" s="184"/>
      <c r="G1" s="184"/>
      <c r="H1" s="184"/>
      <c r="I1" s="184"/>
      <c r="J1" s="184"/>
      <c r="K1" s="184"/>
      <c r="L1" s="184"/>
      <c r="M1" s="184"/>
      <c r="N1" s="184"/>
      <c r="O1" s="184"/>
      <c r="P1" s="185"/>
    </row>
    <row r="2" spans="1:16" x14ac:dyDescent="0.25">
      <c r="A2" s="186"/>
      <c r="B2" s="187"/>
      <c r="C2" s="187"/>
      <c r="D2" s="187"/>
      <c r="E2" s="187"/>
      <c r="F2" s="187"/>
      <c r="G2" s="187"/>
      <c r="H2" s="187"/>
      <c r="I2" s="187"/>
      <c r="J2" s="187"/>
      <c r="K2" s="187"/>
      <c r="L2" s="187"/>
      <c r="M2" s="187"/>
      <c r="N2" s="187"/>
      <c r="O2" s="187"/>
      <c r="P2" s="188"/>
    </row>
    <row r="3" spans="1:16" ht="30" x14ac:dyDescent="0.5">
      <c r="A3" s="186"/>
      <c r="B3" s="187"/>
      <c r="C3" s="187"/>
      <c r="D3" s="189"/>
      <c r="E3" s="187"/>
      <c r="F3" s="187"/>
      <c r="G3" s="187"/>
      <c r="H3" s="187"/>
      <c r="I3" s="187"/>
      <c r="J3" s="187"/>
      <c r="K3" s="187"/>
      <c r="L3" s="190"/>
      <c r="M3" s="187"/>
      <c r="N3" s="187"/>
      <c r="O3" s="187"/>
      <c r="P3" s="188"/>
    </row>
    <row r="4" spans="1:16" ht="22.8" x14ac:dyDescent="0.4">
      <c r="A4" s="186"/>
      <c r="B4" s="187"/>
      <c r="C4" s="187"/>
      <c r="D4" s="191"/>
      <c r="E4" s="187"/>
      <c r="F4" s="187"/>
      <c r="G4" s="187"/>
      <c r="H4" s="187"/>
      <c r="I4" s="187"/>
      <c r="J4" s="187"/>
      <c r="K4" s="187"/>
      <c r="L4" s="187"/>
      <c r="M4" s="187"/>
      <c r="N4" s="187"/>
      <c r="O4" s="187"/>
      <c r="P4" s="188"/>
    </row>
    <row r="5" spans="1:16" x14ac:dyDescent="0.25">
      <c r="A5" s="186"/>
      <c r="B5" s="187"/>
      <c r="C5" s="187"/>
      <c r="D5" s="187"/>
      <c r="E5" s="187"/>
      <c r="F5" s="187"/>
      <c r="G5" s="187"/>
      <c r="H5" s="187"/>
      <c r="I5" s="187"/>
      <c r="J5" s="187"/>
      <c r="K5" s="187"/>
      <c r="L5" s="187"/>
      <c r="M5" s="187"/>
      <c r="N5" s="187"/>
      <c r="O5" s="187"/>
      <c r="P5" s="188"/>
    </row>
    <row r="6" spans="1:16" x14ac:dyDescent="0.25">
      <c r="A6" s="186"/>
      <c r="B6" s="187"/>
      <c r="C6" s="187"/>
      <c r="D6" s="187"/>
      <c r="E6" s="187"/>
      <c r="F6" s="187"/>
      <c r="G6" s="187"/>
      <c r="H6" s="187"/>
      <c r="I6" s="187"/>
      <c r="J6" s="187"/>
      <c r="K6" s="187"/>
      <c r="L6" s="187"/>
      <c r="M6" s="187"/>
      <c r="N6" s="187"/>
      <c r="O6" s="187"/>
      <c r="P6" s="188"/>
    </row>
    <row r="7" spans="1:16" ht="15.6" x14ac:dyDescent="0.3">
      <c r="A7" s="186"/>
      <c r="B7" s="187"/>
      <c r="C7" s="187"/>
      <c r="D7" s="187"/>
      <c r="E7" s="187"/>
      <c r="F7" s="187"/>
      <c r="G7" s="187"/>
      <c r="H7" s="187"/>
      <c r="I7" s="187"/>
      <c r="J7" s="187"/>
      <c r="K7" s="187"/>
      <c r="L7" s="187"/>
      <c r="M7" s="190" t="s">
        <v>459</v>
      </c>
      <c r="N7" s="187"/>
      <c r="O7" s="187"/>
      <c r="P7" s="188"/>
    </row>
    <row r="8" spans="1:16" ht="30" x14ac:dyDescent="0.5">
      <c r="A8" s="186"/>
      <c r="B8" s="189" t="s">
        <v>675</v>
      </c>
      <c r="C8" s="187"/>
      <c r="D8" s="187"/>
      <c r="E8" s="187"/>
      <c r="F8" s="187"/>
      <c r="G8" s="187"/>
      <c r="H8" s="187"/>
      <c r="I8" s="187"/>
      <c r="J8" s="187"/>
      <c r="K8" s="187"/>
      <c r="L8" s="187"/>
      <c r="M8" s="187"/>
      <c r="N8" s="187"/>
      <c r="O8" s="187"/>
      <c r="P8" s="188"/>
    </row>
    <row r="9" spans="1:16" x14ac:dyDescent="0.25">
      <c r="A9" s="186"/>
      <c r="B9" s="187"/>
      <c r="C9" s="187"/>
      <c r="D9" s="187"/>
      <c r="E9" s="187"/>
      <c r="F9" s="187"/>
      <c r="G9" s="187"/>
      <c r="H9" s="187"/>
      <c r="I9" s="187"/>
      <c r="J9" s="187"/>
      <c r="K9" s="187"/>
      <c r="L9" s="187"/>
      <c r="M9" s="187"/>
      <c r="N9" s="187"/>
      <c r="O9" s="187"/>
      <c r="P9" s="188"/>
    </row>
    <row r="10" spans="1:16" ht="20.399999999999999" x14ac:dyDescent="0.35">
      <c r="A10" s="186"/>
      <c r="B10" s="192" t="s">
        <v>455</v>
      </c>
      <c r="C10" s="187"/>
      <c r="D10" s="187"/>
      <c r="E10" s="187"/>
      <c r="F10" s="187"/>
      <c r="G10" s="187"/>
      <c r="H10" s="187"/>
      <c r="I10" s="187"/>
      <c r="J10" s="187"/>
      <c r="K10" s="187"/>
      <c r="L10" s="187"/>
      <c r="M10" s="187"/>
      <c r="N10" s="187"/>
      <c r="O10" s="187"/>
      <c r="P10" s="188"/>
    </row>
    <row r="11" spans="1:16" ht="20.399999999999999" x14ac:dyDescent="0.35">
      <c r="A11" s="186"/>
      <c r="B11" s="192"/>
      <c r="C11" s="187"/>
      <c r="D11" s="187"/>
      <c r="E11" s="187"/>
      <c r="F11" s="187"/>
      <c r="G11" s="187"/>
      <c r="H11" s="187"/>
      <c r="I11" s="187"/>
      <c r="J11" s="187"/>
      <c r="K11" s="187"/>
      <c r="L11" s="187"/>
      <c r="M11" s="187"/>
      <c r="N11" s="187"/>
      <c r="O11" s="187"/>
      <c r="P11" s="188"/>
    </row>
    <row r="12" spans="1:16" ht="13.8" x14ac:dyDescent="0.25">
      <c r="A12" s="186"/>
      <c r="B12" s="193" t="s">
        <v>676</v>
      </c>
      <c r="C12" s="194"/>
      <c r="D12" s="194"/>
      <c r="E12" s="194"/>
      <c r="F12" s="187"/>
      <c r="G12" s="187"/>
      <c r="H12" s="187"/>
      <c r="I12" s="199" t="s">
        <v>476</v>
      </c>
      <c r="J12" s="187"/>
      <c r="K12" s="187"/>
      <c r="L12" s="187"/>
      <c r="M12" s="187"/>
      <c r="N12" s="187"/>
      <c r="O12" s="187"/>
      <c r="P12" s="188"/>
    </row>
    <row r="13" spans="1:16" ht="13.8" x14ac:dyDescent="0.25">
      <c r="A13" s="186"/>
      <c r="B13" s="193" t="s">
        <v>677</v>
      </c>
      <c r="C13" s="194"/>
      <c r="D13" s="194"/>
      <c r="E13" s="194"/>
      <c r="F13" s="291" t="s">
        <v>477</v>
      </c>
      <c r="G13" s="187"/>
      <c r="H13" s="187"/>
      <c r="I13" s="187"/>
      <c r="J13" s="187"/>
      <c r="K13" s="187"/>
      <c r="L13" s="187"/>
      <c r="M13" s="187"/>
      <c r="N13" s="187"/>
      <c r="O13" s="187"/>
      <c r="P13" s="188"/>
    </row>
    <row r="14" spans="1:16" x14ac:dyDescent="0.25">
      <c r="A14" s="186"/>
      <c r="B14" s="187"/>
      <c r="C14" s="187"/>
      <c r="D14" s="187"/>
      <c r="E14" s="187"/>
      <c r="F14" s="187"/>
      <c r="G14" s="187"/>
      <c r="H14" s="187"/>
      <c r="I14" s="187"/>
      <c r="J14" s="187"/>
      <c r="K14" s="187"/>
      <c r="L14" s="187"/>
      <c r="M14" s="187"/>
      <c r="N14" s="187"/>
      <c r="O14" s="187"/>
      <c r="P14" s="188"/>
    </row>
    <row r="15" spans="1:16" x14ac:dyDescent="0.25">
      <c r="A15" s="186"/>
      <c r="B15" s="100"/>
      <c r="C15" s="100"/>
      <c r="D15" s="100"/>
      <c r="E15" s="100"/>
      <c r="F15" s="100"/>
      <c r="G15" s="100"/>
      <c r="H15" s="100"/>
      <c r="I15" s="100"/>
      <c r="J15" s="187"/>
      <c r="K15" s="187"/>
      <c r="L15" s="187"/>
      <c r="M15" s="187"/>
      <c r="N15" s="187"/>
      <c r="O15" s="187"/>
      <c r="P15" s="188"/>
    </row>
    <row r="16" spans="1:16" ht="13.05" customHeight="1" x14ac:dyDescent="0.25">
      <c r="A16" s="292" t="s">
        <v>652</v>
      </c>
      <c r="B16" s="287" t="s">
        <v>679</v>
      </c>
      <c r="C16" s="288"/>
      <c r="D16" s="288"/>
      <c r="E16" s="288"/>
      <c r="F16" s="288"/>
      <c r="G16" s="288"/>
      <c r="H16" s="288"/>
      <c r="I16" s="288"/>
      <c r="J16" s="288"/>
      <c r="K16" s="288"/>
      <c r="L16" s="288"/>
      <c r="M16" s="288"/>
      <c r="N16" s="288"/>
      <c r="O16" s="288"/>
      <c r="P16" s="293"/>
    </row>
    <row r="17" spans="1:16" ht="13.05" customHeight="1" x14ac:dyDescent="0.25">
      <c r="A17" s="292"/>
      <c r="B17" s="287" t="s">
        <v>653</v>
      </c>
      <c r="C17" s="288"/>
      <c r="D17" s="288"/>
      <c r="E17" s="288"/>
      <c r="F17" s="288"/>
      <c r="G17" s="288"/>
      <c r="H17" s="288"/>
      <c r="I17" s="288"/>
      <c r="J17" s="288"/>
      <c r="K17" s="288"/>
      <c r="L17" s="288"/>
      <c r="M17" s="288"/>
      <c r="N17" s="288"/>
      <c r="O17" s="288"/>
      <c r="P17" s="293"/>
    </row>
    <row r="18" spans="1:16" ht="13.05" customHeight="1" x14ac:dyDescent="0.25">
      <c r="A18" s="294"/>
      <c r="B18" s="100"/>
      <c r="C18" s="287" t="s">
        <v>654</v>
      </c>
      <c r="D18" s="288"/>
      <c r="E18" s="288"/>
      <c r="F18" s="288"/>
      <c r="G18" s="288"/>
      <c r="H18" s="288"/>
      <c r="I18" s="288"/>
      <c r="J18" s="288"/>
      <c r="K18" s="288"/>
      <c r="L18" s="288"/>
      <c r="M18" s="288"/>
      <c r="N18" s="288"/>
      <c r="O18" s="288"/>
      <c r="P18" s="293"/>
    </row>
    <row r="19" spans="1:16" ht="13.05" customHeight="1" x14ac:dyDescent="0.25">
      <c r="A19" s="294"/>
      <c r="B19" s="287"/>
      <c r="C19" s="287" t="s">
        <v>681</v>
      </c>
      <c r="D19" s="288"/>
      <c r="E19" s="288"/>
      <c r="F19" s="288"/>
      <c r="G19" s="288"/>
      <c r="H19" s="288"/>
      <c r="I19" s="288"/>
      <c r="J19" s="288"/>
      <c r="K19" s="288"/>
      <c r="L19" s="288"/>
      <c r="M19" s="288"/>
      <c r="N19" s="288"/>
      <c r="O19" s="288"/>
      <c r="P19" s="293"/>
    </row>
    <row r="20" spans="1:16" ht="13.05" customHeight="1" x14ac:dyDescent="0.25">
      <c r="A20" s="294"/>
      <c r="B20" s="287"/>
      <c r="C20" s="287" t="s">
        <v>655</v>
      </c>
      <c r="D20" s="288"/>
      <c r="E20" s="288"/>
      <c r="F20" s="288"/>
      <c r="G20" s="288"/>
      <c r="H20" s="288"/>
      <c r="I20" s="288"/>
      <c r="J20" s="288"/>
      <c r="K20" s="288"/>
      <c r="L20" s="288"/>
      <c r="M20" s="288"/>
      <c r="N20" s="288"/>
      <c r="O20" s="288"/>
      <c r="P20" s="293"/>
    </row>
    <row r="21" spans="1:16" ht="13.05" customHeight="1" x14ac:dyDescent="0.25">
      <c r="A21" s="294"/>
      <c r="B21" s="287" t="s">
        <v>656</v>
      </c>
      <c r="C21" s="288"/>
      <c r="D21" s="288"/>
      <c r="E21" s="288"/>
      <c r="F21" s="288"/>
      <c r="G21" s="288"/>
      <c r="H21" s="288"/>
      <c r="I21" s="288"/>
      <c r="J21" s="288"/>
      <c r="K21" s="288"/>
      <c r="L21" s="288"/>
      <c r="M21" s="288"/>
      <c r="N21" s="288"/>
      <c r="O21" s="288"/>
      <c r="P21" s="293"/>
    </row>
    <row r="22" spans="1:16" ht="13.05" customHeight="1" x14ac:dyDescent="0.25">
      <c r="A22" s="294"/>
      <c r="B22" s="287"/>
      <c r="C22" s="288"/>
      <c r="D22" s="288"/>
      <c r="E22" s="288"/>
      <c r="F22" s="288"/>
      <c r="G22" s="288"/>
      <c r="H22" s="288"/>
      <c r="I22" s="288"/>
      <c r="J22" s="288"/>
      <c r="K22" s="288"/>
      <c r="L22" s="288"/>
      <c r="M22" s="288"/>
      <c r="N22" s="288"/>
      <c r="O22" s="288"/>
      <c r="P22" s="293"/>
    </row>
    <row r="23" spans="1:16" ht="13.05" customHeight="1" x14ac:dyDescent="0.25">
      <c r="A23" s="292" t="s">
        <v>657</v>
      </c>
      <c r="B23" s="287" t="s">
        <v>658</v>
      </c>
      <c r="C23" s="288"/>
      <c r="D23" s="288"/>
      <c r="E23" s="288"/>
      <c r="F23" s="288"/>
      <c r="G23" s="288"/>
      <c r="H23" s="288"/>
      <c r="I23" s="288"/>
      <c r="J23" s="288"/>
      <c r="K23" s="288"/>
      <c r="L23" s="288"/>
      <c r="M23" s="288"/>
      <c r="N23" s="288"/>
      <c r="O23" s="288"/>
      <c r="P23" s="293"/>
    </row>
    <row r="24" spans="1:16" ht="13.05" customHeight="1" x14ac:dyDescent="0.25">
      <c r="A24" s="294"/>
      <c r="B24" s="287" t="s">
        <v>680</v>
      </c>
      <c r="C24" s="288"/>
      <c r="D24" s="288"/>
      <c r="E24" s="288"/>
      <c r="F24" s="288"/>
      <c r="G24" s="288"/>
      <c r="H24" s="288"/>
      <c r="I24" s="288"/>
      <c r="J24" s="288"/>
      <c r="K24" s="288"/>
      <c r="L24" s="288"/>
      <c r="M24" s="288"/>
      <c r="N24" s="288"/>
      <c r="O24" s="288"/>
      <c r="P24" s="293"/>
    </row>
    <row r="25" spans="1:16" ht="13.05" customHeight="1" x14ac:dyDescent="0.25">
      <c r="A25" s="294"/>
      <c r="B25" s="287"/>
      <c r="C25" s="288"/>
      <c r="D25" s="288"/>
      <c r="E25" s="288"/>
      <c r="F25" s="288"/>
      <c r="G25" s="288"/>
      <c r="H25" s="288"/>
      <c r="I25" s="288"/>
      <c r="J25" s="288"/>
      <c r="K25" s="288"/>
      <c r="L25" s="288"/>
      <c r="M25" s="288"/>
      <c r="N25" s="288"/>
      <c r="O25" s="288"/>
      <c r="P25" s="293"/>
    </row>
    <row r="26" spans="1:16" ht="13.05" customHeight="1" x14ac:dyDescent="0.25">
      <c r="A26" s="292" t="s">
        <v>659</v>
      </c>
      <c r="B26" s="287" t="s">
        <v>660</v>
      </c>
      <c r="C26" s="288"/>
      <c r="D26" s="288"/>
      <c r="E26" s="288"/>
      <c r="F26" s="288"/>
      <c r="G26" s="288"/>
      <c r="H26" s="288"/>
      <c r="I26" s="288"/>
      <c r="J26" s="288"/>
      <c r="K26" s="288"/>
      <c r="L26" s="288"/>
      <c r="M26" s="288"/>
      <c r="N26" s="288"/>
      <c r="O26" s="288"/>
      <c r="P26" s="293"/>
    </row>
    <row r="27" spans="1:16" ht="13.05" customHeight="1" x14ac:dyDescent="0.25">
      <c r="A27" s="294"/>
      <c r="B27" s="287" t="s">
        <v>678</v>
      </c>
      <c r="C27" s="288"/>
      <c r="D27" s="288"/>
      <c r="E27" s="288"/>
      <c r="F27" s="288"/>
      <c r="G27" s="288"/>
      <c r="H27" s="288"/>
      <c r="I27" s="288"/>
      <c r="J27" s="288"/>
      <c r="K27" s="288"/>
      <c r="L27" s="288"/>
      <c r="M27" s="288"/>
      <c r="N27" s="288"/>
      <c r="O27" s="288"/>
      <c r="P27" s="293"/>
    </row>
    <row r="28" spans="1:16" ht="13.05" customHeight="1" x14ac:dyDescent="0.25">
      <c r="A28" s="294"/>
      <c r="B28" s="287"/>
      <c r="C28" s="287" t="s">
        <v>661</v>
      </c>
      <c r="D28" s="288"/>
      <c r="E28" s="288"/>
      <c r="F28" s="288"/>
      <c r="G28" s="288"/>
      <c r="H28" s="288"/>
      <c r="I28" s="288"/>
      <c r="J28" s="288"/>
      <c r="K28" s="288"/>
      <c r="L28" s="288"/>
      <c r="M28" s="288"/>
      <c r="N28" s="288"/>
      <c r="O28" s="288"/>
      <c r="P28" s="293"/>
    </row>
    <row r="29" spans="1:16" ht="13.05" customHeight="1" x14ac:dyDescent="0.25">
      <c r="A29" s="294"/>
      <c r="B29" s="100"/>
      <c r="C29" s="295" t="s">
        <v>662</v>
      </c>
      <c r="D29" s="288"/>
      <c r="E29" s="288"/>
      <c r="F29" s="288"/>
      <c r="G29" s="288"/>
      <c r="H29" s="288"/>
      <c r="I29" s="288"/>
      <c r="J29" s="288"/>
      <c r="K29" s="288"/>
      <c r="L29" s="288"/>
      <c r="M29" s="288"/>
      <c r="N29" s="288"/>
      <c r="O29" s="288"/>
      <c r="P29" s="293"/>
    </row>
    <row r="30" spans="1:16" ht="13.05" customHeight="1" x14ac:dyDescent="0.25">
      <c r="A30" s="294"/>
      <c r="B30" s="289" t="s">
        <v>663</v>
      </c>
      <c r="C30" s="289"/>
      <c r="D30" s="288"/>
      <c r="E30" s="288"/>
      <c r="F30" s="288"/>
      <c r="G30" s="288"/>
      <c r="H30" s="288"/>
      <c r="I30" s="288"/>
      <c r="J30" s="288"/>
      <c r="K30" s="288"/>
      <c r="L30" s="288"/>
      <c r="M30" s="288"/>
      <c r="N30" s="288"/>
      <c r="O30" s="288"/>
      <c r="P30" s="293"/>
    </row>
    <row r="31" spans="1:16" ht="13.05" customHeight="1" x14ac:dyDescent="0.25">
      <c r="A31" s="294"/>
      <c r="B31" s="100"/>
      <c r="C31" s="289" t="s">
        <v>682</v>
      </c>
      <c r="D31" s="288"/>
      <c r="E31" s="288"/>
      <c r="F31" s="288"/>
      <c r="G31" s="288"/>
      <c r="H31" s="288"/>
      <c r="I31" s="288"/>
      <c r="J31" s="288"/>
      <c r="K31" s="288"/>
      <c r="L31" s="288"/>
      <c r="M31" s="288"/>
      <c r="N31" s="288"/>
      <c r="O31" s="288"/>
      <c r="P31" s="293"/>
    </row>
    <row r="32" spans="1:16" ht="13.05" customHeight="1" x14ac:dyDescent="0.25">
      <c r="A32" s="294"/>
      <c r="B32" s="100"/>
      <c r="C32" s="289" t="s">
        <v>683</v>
      </c>
      <c r="D32" s="288"/>
      <c r="E32" s="288"/>
      <c r="F32" s="288"/>
      <c r="G32" s="288"/>
      <c r="H32" s="288"/>
      <c r="I32" s="288"/>
      <c r="J32" s="288"/>
      <c r="K32" s="288"/>
      <c r="L32" s="288"/>
      <c r="M32" s="288"/>
      <c r="N32" s="288"/>
      <c r="O32" s="288"/>
      <c r="P32" s="293"/>
    </row>
    <row r="33" spans="1:16" ht="13.05" customHeight="1" x14ac:dyDescent="0.25">
      <c r="A33" s="294"/>
      <c r="B33" s="287" t="s">
        <v>664</v>
      </c>
      <c r="C33" s="100"/>
      <c r="D33" s="288"/>
      <c r="E33" s="288"/>
      <c r="F33" s="288"/>
      <c r="G33" s="288"/>
      <c r="H33" s="288"/>
      <c r="I33" s="288"/>
      <c r="J33" s="288"/>
      <c r="K33" s="288"/>
      <c r="L33" s="288"/>
      <c r="M33" s="288"/>
      <c r="N33" s="288"/>
      <c r="O33" s="288"/>
      <c r="P33" s="293"/>
    </row>
    <row r="34" spans="1:16" ht="13.05" customHeight="1" x14ac:dyDescent="0.25">
      <c r="A34" s="294"/>
      <c r="B34" s="287" t="s">
        <v>665</v>
      </c>
      <c r="C34" s="288"/>
      <c r="D34" s="288"/>
      <c r="E34" s="288"/>
      <c r="F34" s="288"/>
      <c r="G34" s="288"/>
      <c r="H34" s="288"/>
      <c r="I34" s="288"/>
      <c r="J34" s="288"/>
      <c r="K34" s="288"/>
      <c r="L34" s="288"/>
      <c r="M34" s="288"/>
      <c r="N34" s="288"/>
      <c r="O34" s="288"/>
      <c r="P34" s="293"/>
    </row>
    <row r="35" spans="1:16" ht="13.05" customHeight="1" x14ac:dyDescent="0.25">
      <c r="A35" s="294"/>
      <c r="B35" s="287"/>
      <c r="C35" s="288"/>
      <c r="D35" s="288"/>
      <c r="E35" s="288"/>
      <c r="F35" s="288"/>
      <c r="G35" s="288"/>
      <c r="H35" s="288"/>
      <c r="I35" s="288"/>
      <c r="J35" s="288"/>
      <c r="K35" s="288"/>
      <c r="L35" s="288"/>
      <c r="M35" s="288"/>
      <c r="N35" s="288"/>
      <c r="O35" s="288"/>
      <c r="P35" s="293"/>
    </row>
    <row r="36" spans="1:16" ht="13.05" customHeight="1" x14ac:dyDescent="0.25">
      <c r="A36" s="292" t="s">
        <v>666</v>
      </c>
      <c r="B36" s="287" t="s">
        <v>667</v>
      </c>
      <c r="C36" s="288"/>
      <c r="D36" s="288"/>
      <c r="E36" s="288"/>
      <c r="F36" s="288"/>
      <c r="G36" s="288"/>
      <c r="H36" s="288"/>
      <c r="I36" s="288"/>
      <c r="J36" s="288"/>
      <c r="K36" s="288"/>
      <c r="L36" s="288"/>
      <c r="M36" s="288"/>
      <c r="N36" s="288"/>
      <c r="O36" s="288"/>
      <c r="P36" s="293"/>
    </row>
    <row r="37" spans="1:16" ht="13.05" customHeight="1" x14ac:dyDescent="0.25">
      <c r="A37" s="294"/>
      <c r="B37" s="287" t="s">
        <v>668</v>
      </c>
      <c r="C37" s="288"/>
      <c r="D37" s="288"/>
      <c r="E37" s="288"/>
      <c r="F37" s="288"/>
      <c r="G37" s="288"/>
      <c r="H37" s="288"/>
      <c r="I37" s="288"/>
      <c r="J37" s="288"/>
      <c r="K37" s="288"/>
      <c r="L37" s="288"/>
      <c r="M37" s="288"/>
      <c r="N37" s="288"/>
      <c r="O37" s="288"/>
      <c r="P37" s="293"/>
    </row>
    <row r="38" spans="1:16" ht="13.05" customHeight="1" x14ac:dyDescent="0.25">
      <c r="A38" s="294"/>
      <c r="B38" s="287" t="s">
        <v>684</v>
      </c>
      <c r="C38" s="288"/>
      <c r="D38" s="288"/>
      <c r="E38" s="288"/>
      <c r="F38" s="288"/>
      <c r="G38" s="288"/>
      <c r="H38" s="288"/>
      <c r="I38" s="288"/>
      <c r="J38" s="288"/>
      <c r="K38" s="288"/>
      <c r="L38" s="288"/>
      <c r="M38" s="288"/>
      <c r="N38" s="288"/>
      <c r="O38" s="288"/>
      <c r="P38" s="293"/>
    </row>
    <row r="39" spans="1:16" ht="13.05" customHeight="1" x14ac:dyDescent="0.25">
      <c r="A39" s="294"/>
      <c r="B39" s="287"/>
      <c r="C39" s="288"/>
      <c r="D39" s="288"/>
      <c r="E39" s="288"/>
      <c r="F39" s="288"/>
      <c r="G39" s="288"/>
      <c r="H39" s="288"/>
      <c r="I39" s="288"/>
      <c r="J39" s="288"/>
      <c r="K39" s="288"/>
      <c r="L39" s="288"/>
      <c r="M39" s="288"/>
      <c r="N39" s="288"/>
      <c r="O39" s="288"/>
      <c r="P39" s="293"/>
    </row>
    <row r="40" spans="1:16" ht="13.05" customHeight="1" x14ac:dyDescent="0.25">
      <c r="A40" s="292" t="s">
        <v>669</v>
      </c>
      <c r="B40" s="287" t="s">
        <v>670</v>
      </c>
      <c r="C40" s="288"/>
      <c r="D40" s="288"/>
      <c r="E40" s="288"/>
      <c r="F40" s="288"/>
      <c r="G40" s="288"/>
      <c r="H40" s="288"/>
      <c r="I40" s="288"/>
      <c r="J40" s="288"/>
      <c r="K40" s="288"/>
      <c r="L40" s="288"/>
      <c r="M40" s="288"/>
      <c r="N40" s="288"/>
      <c r="O40" s="288"/>
      <c r="P40" s="293"/>
    </row>
    <row r="41" spans="1:16" ht="13.05" customHeight="1" x14ac:dyDescent="0.25">
      <c r="A41" s="296"/>
      <c r="B41" s="290" t="s">
        <v>671</v>
      </c>
      <c r="C41" s="288"/>
      <c r="D41" s="288"/>
      <c r="E41" s="288"/>
      <c r="F41" s="288"/>
      <c r="G41" s="288"/>
      <c r="H41" s="288"/>
      <c r="I41" s="288"/>
      <c r="J41" s="288"/>
      <c r="K41" s="288"/>
      <c r="L41" s="288"/>
      <c r="M41" s="288"/>
      <c r="N41" s="288"/>
      <c r="O41" s="288"/>
      <c r="P41" s="293"/>
    </row>
    <row r="42" spans="1:16" ht="13.05" customHeight="1" x14ac:dyDescent="0.25">
      <c r="A42" s="296"/>
      <c r="B42" s="287" t="s">
        <v>672</v>
      </c>
      <c r="C42" s="288"/>
      <c r="D42" s="288"/>
      <c r="E42" s="288"/>
      <c r="F42" s="288"/>
      <c r="G42" s="288"/>
      <c r="H42" s="288"/>
      <c r="I42" s="288"/>
      <c r="J42" s="288"/>
      <c r="K42" s="288"/>
      <c r="L42" s="288"/>
      <c r="M42" s="288"/>
      <c r="N42" s="288"/>
      <c r="O42" s="288"/>
      <c r="P42" s="293"/>
    </row>
    <row r="43" spans="1:16" ht="13.05" customHeight="1" x14ac:dyDescent="0.25">
      <c r="A43" s="296"/>
      <c r="B43" s="287"/>
      <c r="C43" s="288"/>
      <c r="D43" s="288"/>
      <c r="E43" s="288"/>
      <c r="F43" s="288"/>
      <c r="G43" s="288"/>
      <c r="H43" s="288"/>
      <c r="I43" s="288"/>
      <c r="J43" s="288"/>
      <c r="K43" s="288"/>
      <c r="L43" s="288"/>
      <c r="M43" s="288"/>
      <c r="N43" s="288"/>
      <c r="O43" s="288"/>
      <c r="P43" s="293"/>
    </row>
    <row r="44" spans="1:16" ht="13.05" customHeight="1" x14ac:dyDescent="0.25">
      <c r="A44" s="292" t="s">
        <v>673</v>
      </c>
      <c r="B44" s="287" t="s">
        <v>674</v>
      </c>
      <c r="C44" s="288"/>
      <c r="D44" s="288"/>
      <c r="E44" s="288"/>
      <c r="F44" s="288"/>
      <c r="G44" s="288"/>
      <c r="H44" s="288"/>
      <c r="I44" s="288"/>
      <c r="J44" s="288"/>
      <c r="K44" s="288"/>
      <c r="L44" s="288"/>
      <c r="M44" s="288"/>
      <c r="N44" s="288"/>
      <c r="O44" s="288"/>
      <c r="P44" s="293"/>
    </row>
    <row r="45" spans="1:16" ht="13.05" customHeight="1" x14ac:dyDescent="0.25">
      <c r="A45" s="294"/>
      <c r="B45" s="287"/>
      <c r="C45" s="288"/>
      <c r="D45" s="288"/>
      <c r="E45" s="288"/>
      <c r="F45" s="288"/>
      <c r="G45" s="288"/>
      <c r="H45" s="288"/>
      <c r="I45" s="288"/>
      <c r="J45" s="288"/>
      <c r="K45" s="288"/>
      <c r="L45" s="288"/>
      <c r="M45" s="288"/>
      <c r="N45" s="288"/>
      <c r="O45" s="288"/>
      <c r="P45" s="293"/>
    </row>
    <row r="46" spans="1:16" x14ac:dyDescent="0.25">
      <c r="A46" s="294"/>
      <c r="B46" s="287" t="s">
        <v>685</v>
      </c>
      <c r="C46" s="288"/>
      <c r="D46" s="288"/>
      <c r="E46" s="288"/>
      <c r="F46" s="288"/>
      <c r="G46" s="288"/>
      <c r="H46" s="288"/>
      <c r="I46" s="288"/>
      <c r="J46" s="288"/>
      <c r="K46" s="288"/>
      <c r="L46" s="288"/>
      <c r="M46" s="288"/>
      <c r="N46" s="288"/>
      <c r="O46" s="288"/>
      <c r="P46" s="293"/>
    </row>
    <row r="47" spans="1:16" x14ac:dyDescent="0.25">
      <c r="A47" s="294"/>
      <c r="B47" s="287"/>
      <c r="C47" s="288"/>
      <c r="D47" s="288"/>
      <c r="E47" s="288"/>
      <c r="F47" s="288"/>
      <c r="G47" s="288"/>
      <c r="H47" s="288"/>
      <c r="I47" s="288"/>
      <c r="J47" s="288"/>
      <c r="K47" s="288"/>
      <c r="L47" s="288"/>
      <c r="M47" s="288"/>
      <c r="N47" s="288"/>
      <c r="O47" s="288"/>
      <c r="P47" s="293"/>
    </row>
    <row r="48" spans="1:16" ht="20.399999999999999" x14ac:dyDescent="0.35">
      <c r="A48" s="186"/>
      <c r="B48" s="192" t="s">
        <v>456</v>
      </c>
      <c r="C48" s="187"/>
      <c r="D48" s="187"/>
      <c r="E48" s="187"/>
      <c r="F48" s="187"/>
      <c r="G48" s="187"/>
      <c r="H48" s="187"/>
      <c r="I48" s="187"/>
      <c r="J48" s="187"/>
      <c r="K48" s="187"/>
      <c r="L48" s="187"/>
      <c r="M48" s="187"/>
      <c r="N48" s="187"/>
      <c r="O48" s="187"/>
      <c r="P48" s="188"/>
    </row>
    <row r="49" spans="1:16" x14ac:dyDescent="0.25">
      <c r="A49" s="186"/>
      <c r="B49" s="195" t="s">
        <v>462</v>
      </c>
      <c r="C49" s="187"/>
      <c r="D49" s="187"/>
      <c r="E49" s="187"/>
      <c r="F49" s="187"/>
      <c r="G49" s="187"/>
      <c r="H49" s="187"/>
      <c r="I49" s="187"/>
      <c r="J49" s="187"/>
      <c r="K49" s="187"/>
      <c r="L49" s="187"/>
      <c r="M49" s="187"/>
      <c r="N49" s="187"/>
      <c r="O49" s="187"/>
      <c r="P49" s="188"/>
    </row>
    <row r="50" spans="1:16" x14ac:dyDescent="0.25">
      <c r="A50" s="186"/>
      <c r="B50" s="187" t="s">
        <v>457</v>
      </c>
      <c r="C50" s="187"/>
      <c r="D50" s="187"/>
      <c r="E50" s="187"/>
      <c r="F50" s="187"/>
      <c r="G50" s="187"/>
      <c r="H50" s="187"/>
      <c r="I50" s="187"/>
      <c r="J50" s="187"/>
      <c r="K50" s="187"/>
      <c r="L50" s="187"/>
      <c r="M50" s="187"/>
      <c r="N50" s="187"/>
      <c r="O50" s="187"/>
      <c r="P50" s="188"/>
    </row>
    <row r="51" spans="1:16" x14ac:dyDescent="0.25">
      <c r="A51" s="186"/>
      <c r="B51" s="187"/>
      <c r="C51" s="187"/>
      <c r="D51" s="187"/>
      <c r="E51" s="187"/>
      <c r="F51" s="187"/>
      <c r="G51" s="187"/>
      <c r="H51" s="187"/>
      <c r="I51" s="187"/>
      <c r="J51" s="187"/>
      <c r="K51" s="187"/>
      <c r="L51" s="187"/>
      <c r="M51" s="187"/>
      <c r="N51" s="187"/>
      <c r="O51" s="187"/>
      <c r="P51" s="188"/>
    </row>
    <row r="52" spans="1:16" x14ac:dyDescent="0.25">
      <c r="A52" s="186"/>
      <c r="B52" s="195" t="s">
        <v>461</v>
      </c>
      <c r="C52" s="187"/>
      <c r="D52" s="187"/>
      <c r="E52" s="187"/>
      <c r="F52" s="187"/>
      <c r="G52" s="187"/>
      <c r="H52" s="187"/>
      <c r="I52" s="187"/>
      <c r="J52" s="187"/>
      <c r="K52" s="187"/>
      <c r="L52" s="187"/>
      <c r="M52" s="187"/>
      <c r="N52" s="187"/>
      <c r="O52" s="187"/>
      <c r="P52" s="188"/>
    </row>
    <row r="53" spans="1:16" x14ac:dyDescent="0.25">
      <c r="A53" s="186"/>
      <c r="B53" s="187"/>
      <c r="C53" s="187"/>
      <c r="D53" s="187"/>
      <c r="E53" s="187"/>
      <c r="F53" s="187"/>
      <c r="G53" s="187"/>
      <c r="H53" s="187"/>
      <c r="I53" s="187"/>
      <c r="J53" s="187"/>
      <c r="K53" s="187"/>
      <c r="L53" s="187"/>
      <c r="M53" s="187"/>
      <c r="N53" s="187"/>
      <c r="O53" s="187"/>
      <c r="P53" s="188"/>
    </row>
    <row r="54" spans="1:16" x14ac:dyDescent="0.25">
      <c r="A54" s="186"/>
      <c r="B54" s="187" t="s">
        <v>458</v>
      </c>
      <c r="C54" s="187"/>
      <c r="D54" s="187"/>
      <c r="E54" s="187"/>
      <c r="F54" s="187"/>
      <c r="G54" s="187"/>
      <c r="H54" s="187"/>
      <c r="I54" s="187"/>
      <c r="J54" s="187"/>
      <c r="K54" s="187"/>
      <c r="L54" s="187"/>
      <c r="M54" s="187"/>
      <c r="N54" s="187"/>
      <c r="O54" s="187"/>
      <c r="P54" s="188"/>
    </row>
    <row r="55" spans="1:16" x14ac:dyDescent="0.25">
      <c r="A55" s="186"/>
      <c r="B55" s="195"/>
      <c r="C55" s="187"/>
      <c r="D55" s="187"/>
      <c r="E55" s="187"/>
      <c r="F55" s="187"/>
      <c r="G55" s="187"/>
      <c r="H55" s="187"/>
      <c r="I55" s="187"/>
      <c r="J55" s="187"/>
      <c r="K55" s="187"/>
      <c r="L55" s="187"/>
      <c r="M55" s="187"/>
      <c r="N55" s="187"/>
      <c r="O55" s="187"/>
      <c r="P55" s="188"/>
    </row>
    <row r="56" spans="1:16" x14ac:dyDescent="0.25">
      <c r="A56" s="186"/>
      <c r="B56" s="187"/>
      <c r="C56" s="187"/>
      <c r="D56" s="187"/>
      <c r="E56" s="187"/>
      <c r="F56" s="187"/>
      <c r="G56" s="187"/>
      <c r="H56" s="187"/>
      <c r="I56" s="187"/>
      <c r="J56" s="187"/>
      <c r="K56" s="187"/>
      <c r="L56" s="187"/>
      <c r="M56" s="187"/>
      <c r="N56" s="187"/>
      <c r="O56" s="187"/>
      <c r="P56" s="188"/>
    </row>
    <row r="57" spans="1:16" ht="13.8" thickBot="1" x14ac:dyDescent="0.3">
      <c r="A57" s="186"/>
      <c r="B57" s="187"/>
      <c r="C57" s="187"/>
      <c r="D57" s="187"/>
      <c r="E57" s="187"/>
      <c r="F57" s="187"/>
      <c r="G57" s="187"/>
      <c r="H57" s="187"/>
      <c r="I57" s="187"/>
      <c r="J57" s="187"/>
      <c r="K57" s="187"/>
      <c r="L57" s="187"/>
      <c r="M57" s="187"/>
      <c r="N57" s="187"/>
      <c r="O57" s="187"/>
      <c r="P57" s="188"/>
    </row>
    <row r="58" spans="1:16" ht="13.95" customHeight="1" x14ac:dyDescent="0.25">
      <c r="A58" s="186"/>
      <c r="B58" s="314" t="s">
        <v>475</v>
      </c>
      <c r="C58" s="315"/>
      <c r="D58" s="315"/>
      <c r="E58" s="315"/>
      <c r="F58" s="315"/>
      <c r="G58" s="315"/>
      <c r="H58" s="315"/>
      <c r="I58" s="315"/>
      <c r="J58" s="315"/>
      <c r="K58" s="315"/>
      <c r="L58" s="315"/>
      <c r="M58" s="316"/>
      <c r="N58" s="187"/>
      <c r="O58" s="187"/>
      <c r="P58" s="188"/>
    </row>
    <row r="59" spans="1:16" ht="13.95" customHeight="1" x14ac:dyDescent="0.25">
      <c r="A59" s="186"/>
      <c r="B59" s="317"/>
      <c r="C59" s="318"/>
      <c r="D59" s="318"/>
      <c r="E59" s="318"/>
      <c r="F59" s="318"/>
      <c r="G59" s="318"/>
      <c r="H59" s="318"/>
      <c r="I59" s="318"/>
      <c r="J59" s="318"/>
      <c r="K59" s="318"/>
      <c r="L59" s="318"/>
      <c r="M59" s="319"/>
      <c r="N59" s="187"/>
      <c r="O59" s="187"/>
      <c r="P59" s="188"/>
    </row>
    <row r="60" spans="1:16" ht="13.95" customHeight="1" x14ac:dyDescent="0.25">
      <c r="A60" s="186"/>
      <c r="B60" s="317"/>
      <c r="C60" s="318"/>
      <c r="D60" s="318"/>
      <c r="E60" s="318"/>
      <c r="F60" s="318"/>
      <c r="G60" s="318"/>
      <c r="H60" s="318"/>
      <c r="I60" s="318"/>
      <c r="J60" s="318"/>
      <c r="K60" s="318"/>
      <c r="L60" s="318"/>
      <c r="M60" s="319"/>
      <c r="N60" s="187"/>
      <c r="O60" s="187"/>
      <c r="P60" s="188"/>
    </row>
    <row r="61" spans="1:16" ht="13.95" customHeight="1" x14ac:dyDescent="0.25">
      <c r="A61" s="186"/>
      <c r="B61" s="317"/>
      <c r="C61" s="318"/>
      <c r="D61" s="318"/>
      <c r="E61" s="318"/>
      <c r="F61" s="318"/>
      <c r="G61" s="318"/>
      <c r="H61" s="318"/>
      <c r="I61" s="318"/>
      <c r="J61" s="318"/>
      <c r="K61" s="318"/>
      <c r="L61" s="318"/>
      <c r="M61" s="319"/>
      <c r="N61" s="187"/>
      <c r="O61" s="187"/>
      <c r="P61" s="188"/>
    </row>
    <row r="62" spans="1:16" ht="13.95" customHeight="1" x14ac:dyDescent="0.25">
      <c r="A62" s="186"/>
      <c r="B62" s="317"/>
      <c r="C62" s="318"/>
      <c r="D62" s="318"/>
      <c r="E62" s="318"/>
      <c r="F62" s="318"/>
      <c r="G62" s="318"/>
      <c r="H62" s="318"/>
      <c r="I62" s="318"/>
      <c r="J62" s="318"/>
      <c r="K62" s="318"/>
      <c r="L62" s="318"/>
      <c r="M62" s="319"/>
      <c r="N62" s="187"/>
      <c r="O62" s="187"/>
      <c r="P62" s="188"/>
    </row>
    <row r="63" spans="1:16" ht="13.95" customHeight="1" x14ac:dyDescent="0.25">
      <c r="A63" s="186"/>
      <c r="B63" s="317"/>
      <c r="C63" s="318"/>
      <c r="D63" s="318"/>
      <c r="E63" s="318"/>
      <c r="F63" s="318"/>
      <c r="G63" s="318"/>
      <c r="H63" s="318"/>
      <c r="I63" s="318"/>
      <c r="J63" s="318"/>
      <c r="K63" s="318"/>
      <c r="L63" s="318"/>
      <c r="M63" s="319"/>
      <c r="N63" s="187"/>
      <c r="O63" s="187"/>
      <c r="P63" s="188"/>
    </row>
    <row r="64" spans="1:16" ht="13.95" customHeight="1" x14ac:dyDescent="0.25">
      <c r="A64" s="186"/>
      <c r="B64" s="317"/>
      <c r="C64" s="318"/>
      <c r="D64" s="318"/>
      <c r="E64" s="318"/>
      <c r="F64" s="318"/>
      <c r="G64" s="318"/>
      <c r="H64" s="318"/>
      <c r="I64" s="318"/>
      <c r="J64" s="318"/>
      <c r="K64" s="318"/>
      <c r="L64" s="318"/>
      <c r="M64" s="319"/>
      <c r="N64" s="187"/>
      <c r="O64" s="187"/>
      <c r="P64" s="188"/>
    </row>
    <row r="65" spans="1:16" ht="13.95" customHeight="1" x14ac:dyDescent="0.25">
      <c r="A65" s="186"/>
      <c r="B65" s="317"/>
      <c r="C65" s="318"/>
      <c r="D65" s="318"/>
      <c r="E65" s="318"/>
      <c r="F65" s="318"/>
      <c r="G65" s="318"/>
      <c r="H65" s="318"/>
      <c r="I65" s="318"/>
      <c r="J65" s="318"/>
      <c r="K65" s="318"/>
      <c r="L65" s="318"/>
      <c r="M65" s="319"/>
      <c r="N65" s="187"/>
      <c r="O65" s="187"/>
      <c r="P65" s="188"/>
    </row>
    <row r="66" spans="1:16" ht="13.95" customHeight="1" x14ac:dyDescent="0.25">
      <c r="A66" s="186"/>
      <c r="B66" s="317"/>
      <c r="C66" s="318"/>
      <c r="D66" s="318"/>
      <c r="E66" s="318"/>
      <c r="F66" s="318"/>
      <c r="G66" s="318"/>
      <c r="H66" s="318"/>
      <c r="I66" s="318"/>
      <c r="J66" s="318"/>
      <c r="K66" s="318"/>
      <c r="L66" s="318"/>
      <c r="M66" s="319"/>
      <c r="N66" s="187"/>
      <c r="O66" s="187"/>
      <c r="P66" s="188"/>
    </row>
    <row r="67" spans="1:16" ht="13.95" customHeight="1" x14ac:dyDescent="0.25">
      <c r="A67" s="186"/>
      <c r="B67" s="317"/>
      <c r="C67" s="318"/>
      <c r="D67" s="318"/>
      <c r="E67" s="318"/>
      <c r="F67" s="318"/>
      <c r="G67" s="318"/>
      <c r="H67" s="318"/>
      <c r="I67" s="318"/>
      <c r="J67" s="318"/>
      <c r="K67" s="318"/>
      <c r="L67" s="318"/>
      <c r="M67" s="319"/>
      <c r="N67" s="187"/>
      <c r="O67" s="187"/>
      <c r="P67" s="188"/>
    </row>
    <row r="68" spans="1:16" ht="13.95" customHeight="1" x14ac:dyDescent="0.25">
      <c r="A68" s="186"/>
      <c r="B68" s="317"/>
      <c r="C68" s="318"/>
      <c r="D68" s="318"/>
      <c r="E68" s="318"/>
      <c r="F68" s="318"/>
      <c r="G68" s="318"/>
      <c r="H68" s="318"/>
      <c r="I68" s="318"/>
      <c r="J68" s="318"/>
      <c r="K68" s="318"/>
      <c r="L68" s="318"/>
      <c r="M68" s="319"/>
      <c r="N68" s="187"/>
      <c r="O68" s="187"/>
      <c r="P68" s="188"/>
    </row>
    <row r="69" spans="1:16" ht="13.95" customHeight="1" x14ac:dyDescent="0.25">
      <c r="A69" s="186"/>
      <c r="B69" s="317"/>
      <c r="C69" s="318"/>
      <c r="D69" s="318"/>
      <c r="E69" s="318"/>
      <c r="F69" s="318"/>
      <c r="G69" s="318"/>
      <c r="H69" s="318"/>
      <c r="I69" s="318"/>
      <c r="J69" s="318"/>
      <c r="K69" s="318"/>
      <c r="L69" s="318"/>
      <c r="M69" s="319"/>
      <c r="N69" s="187"/>
      <c r="O69" s="187"/>
      <c r="P69" s="188"/>
    </row>
    <row r="70" spans="1:16" ht="13.95" customHeight="1" x14ac:dyDescent="0.25">
      <c r="A70" s="186"/>
      <c r="B70" s="317"/>
      <c r="C70" s="318"/>
      <c r="D70" s="318"/>
      <c r="E70" s="318"/>
      <c r="F70" s="318"/>
      <c r="G70" s="318"/>
      <c r="H70" s="318"/>
      <c r="I70" s="318"/>
      <c r="J70" s="318"/>
      <c r="K70" s="318"/>
      <c r="L70" s="318"/>
      <c r="M70" s="319"/>
      <c r="N70" s="187"/>
      <c r="O70" s="187"/>
      <c r="P70" s="188"/>
    </row>
    <row r="71" spans="1:16" ht="13.95" customHeight="1" x14ac:dyDescent="0.25">
      <c r="A71" s="186"/>
      <c r="B71" s="317"/>
      <c r="C71" s="318"/>
      <c r="D71" s="318"/>
      <c r="E71" s="318"/>
      <c r="F71" s="318"/>
      <c r="G71" s="318"/>
      <c r="H71" s="318"/>
      <c r="I71" s="318"/>
      <c r="J71" s="318"/>
      <c r="K71" s="318"/>
      <c r="L71" s="318"/>
      <c r="M71" s="319"/>
      <c r="N71" s="187"/>
      <c r="O71" s="187"/>
      <c r="P71" s="188"/>
    </row>
    <row r="72" spans="1:16" ht="13.95" customHeight="1" x14ac:dyDescent="0.25">
      <c r="A72" s="186"/>
      <c r="B72" s="317"/>
      <c r="C72" s="318"/>
      <c r="D72" s="318"/>
      <c r="E72" s="318"/>
      <c r="F72" s="318"/>
      <c r="G72" s="318"/>
      <c r="H72" s="318"/>
      <c r="I72" s="318"/>
      <c r="J72" s="318"/>
      <c r="K72" s="318"/>
      <c r="L72" s="318"/>
      <c r="M72" s="319"/>
      <c r="N72" s="187"/>
      <c r="O72" s="187"/>
      <c r="P72" s="188"/>
    </row>
    <row r="73" spans="1:16" ht="13.95" customHeight="1" x14ac:dyDescent="0.25">
      <c r="A73" s="186"/>
      <c r="B73" s="317"/>
      <c r="C73" s="318"/>
      <c r="D73" s="318"/>
      <c r="E73" s="318"/>
      <c r="F73" s="318"/>
      <c r="G73" s="318"/>
      <c r="H73" s="318"/>
      <c r="I73" s="318"/>
      <c r="J73" s="318"/>
      <c r="K73" s="318"/>
      <c r="L73" s="318"/>
      <c r="M73" s="319"/>
      <c r="N73" s="187"/>
      <c r="O73" s="187"/>
      <c r="P73" s="188"/>
    </row>
    <row r="74" spans="1:16" ht="13.95" customHeight="1" x14ac:dyDescent="0.25">
      <c r="A74" s="186"/>
      <c r="B74" s="317"/>
      <c r="C74" s="318"/>
      <c r="D74" s="318"/>
      <c r="E74" s="318"/>
      <c r="F74" s="318"/>
      <c r="G74" s="318"/>
      <c r="H74" s="318"/>
      <c r="I74" s="318"/>
      <c r="J74" s="318"/>
      <c r="K74" s="318"/>
      <c r="L74" s="318"/>
      <c r="M74" s="319"/>
      <c r="N74" s="187"/>
      <c r="O74" s="187"/>
      <c r="P74" s="188"/>
    </row>
    <row r="75" spans="1:16" ht="13.95" customHeight="1" x14ac:dyDescent="0.25">
      <c r="A75" s="186"/>
      <c r="B75" s="317"/>
      <c r="C75" s="318"/>
      <c r="D75" s="318"/>
      <c r="E75" s="318"/>
      <c r="F75" s="318"/>
      <c r="G75" s="318"/>
      <c r="H75" s="318"/>
      <c r="I75" s="318"/>
      <c r="J75" s="318"/>
      <c r="K75" s="318"/>
      <c r="L75" s="318"/>
      <c r="M75" s="319"/>
      <c r="N75" s="187"/>
      <c r="O75" s="187"/>
      <c r="P75" s="188"/>
    </row>
    <row r="76" spans="1:16" ht="13.95" customHeight="1" x14ac:dyDescent="0.25">
      <c r="A76" s="186"/>
      <c r="B76" s="317"/>
      <c r="C76" s="318"/>
      <c r="D76" s="318"/>
      <c r="E76" s="318"/>
      <c r="F76" s="318"/>
      <c r="G76" s="318"/>
      <c r="H76" s="318"/>
      <c r="I76" s="318"/>
      <c r="J76" s="318"/>
      <c r="K76" s="318"/>
      <c r="L76" s="318"/>
      <c r="M76" s="319"/>
      <c r="N76" s="187"/>
      <c r="O76" s="187"/>
      <c r="P76" s="188"/>
    </row>
    <row r="77" spans="1:16" ht="13.95" customHeight="1" x14ac:dyDescent="0.25">
      <c r="A77" s="186"/>
      <c r="B77" s="317"/>
      <c r="C77" s="318"/>
      <c r="D77" s="318"/>
      <c r="E77" s="318"/>
      <c r="F77" s="318"/>
      <c r="G77" s="318"/>
      <c r="H77" s="318"/>
      <c r="I77" s="318"/>
      <c r="J77" s="318"/>
      <c r="K77" s="318"/>
      <c r="L77" s="318"/>
      <c r="M77" s="319"/>
      <c r="N77" s="187"/>
      <c r="O77" s="187"/>
      <c r="P77" s="188"/>
    </row>
    <row r="78" spans="1:16" ht="13.95" customHeight="1" x14ac:dyDescent="0.25">
      <c r="A78" s="186"/>
      <c r="B78" s="317"/>
      <c r="C78" s="318"/>
      <c r="D78" s="318"/>
      <c r="E78" s="318"/>
      <c r="F78" s="318"/>
      <c r="G78" s="318"/>
      <c r="H78" s="318"/>
      <c r="I78" s="318"/>
      <c r="J78" s="318"/>
      <c r="K78" s="318"/>
      <c r="L78" s="318"/>
      <c r="M78" s="319"/>
      <c r="N78" s="187"/>
      <c r="O78" s="187"/>
      <c r="P78" s="188"/>
    </row>
    <row r="79" spans="1:16" ht="13.95" customHeight="1" x14ac:dyDescent="0.25">
      <c r="A79" s="186"/>
      <c r="B79" s="317"/>
      <c r="C79" s="318"/>
      <c r="D79" s="318"/>
      <c r="E79" s="318"/>
      <c r="F79" s="318"/>
      <c r="G79" s="318"/>
      <c r="H79" s="318"/>
      <c r="I79" s="318"/>
      <c r="J79" s="318"/>
      <c r="K79" s="318"/>
      <c r="L79" s="318"/>
      <c r="M79" s="319"/>
      <c r="N79" s="187"/>
      <c r="O79" s="187"/>
      <c r="P79" s="188"/>
    </row>
    <row r="80" spans="1:16" ht="13.95" customHeight="1" x14ac:dyDescent="0.25">
      <c r="A80" s="186"/>
      <c r="B80" s="317"/>
      <c r="C80" s="318"/>
      <c r="D80" s="318"/>
      <c r="E80" s="318"/>
      <c r="F80" s="318"/>
      <c r="G80" s="318"/>
      <c r="H80" s="318"/>
      <c r="I80" s="318"/>
      <c r="J80" s="318"/>
      <c r="K80" s="318"/>
      <c r="L80" s="318"/>
      <c r="M80" s="319"/>
      <c r="N80" s="187"/>
      <c r="O80" s="187"/>
      <c r="P80" s="188"/>
    </row>
    <row r="81" spans="1:16" ht="13.95" customHeight="1" x14ac:dyDescent="0.25">
      <c r="A81" s="186"/>
      <c r="B81" s="317"/>
      <c r="C81" s="318"/>
      <c r="D81" s="318"/>
      <c r="E81" s="318"/>
      <c r="F81" s="318"/>
      <c r="G81" s="318"/>
      <c r="H81" s="318"/>
      <c r="I81" s="318"/>
      <c r="J81" s="318"/>
      <c r="K81" s="318"/>
      <c r="L81" s="318"/>
      <c r="M81" s="319"/>
      <c r="N81" s="187"/>
      <c r="O81" s="187"/>
      <c r="P81" s="188"/>
    </row>
    <row r="82" spans="1:16" ht="13.95" customHeight="1" x14ac:dyDescent="0.25">
      <c r="A82" s="186"/>
      <c r="B82" s="317"/>
      <c r="C82" s="318"/>
      <c r="D82" s="318"/>
      <c r="E82" s="318"/>
      <c r="F82" s="318"/>
      <c r="G82" s="318"/>
      <c r="H82" s="318"/>
      <c r="I82" s="318"/>
      <c r="J82" s="318"/>
      <c r="K82" s="318"/>
      <c r="L82" s="318"/>
      <c r="M82" s="319"/>
      <c r="N82" s="187"/>
      <c r="O82" s="187"/>
      <c r="P82" s="188"/>
    </row>
    <row r="83" spans="1:16" ht="13.95" customHeight="1" x14ac:dyDescent="0.25">
      <c r="A83" s="186"/>
      <c r="B83" s="317"/>
      <c r="C83" s="318"/>
      <c r="D83" s="318"/>
      <c r="E83" s="318"/>
      <c r="F83" s="318"/>
      <c r="G83" s="318"/>
      <c r="H83" s="318"/>
      <c r="I83" s="318"/>
      <c r="J83" s="318"/>
      <c r="K83" s="318"/>
      <c r="L83" s="318"/>
      <c r="M83" s="319"/>
      <c r="N83" s="187"/>
      <c r="O83" s="187"/>
      <c r="P83" s="188"/>
    </row>
    <row r="84" spans="1:16" ht="13.2" customHeight="1" x14ac:dyDescent="0.25">
      <c r="A84" s="186"/>
      <c r="B84" s="317"/>
      <c r="C84" s="318"/>
      <c r="D84" s="318"/>
      <c r="E84" s="318"/>
      <c r="F84" s="318"/>
      <c r="G84" s="318"/>
      <c r="H84" s="318"/>
      <c r="I84" s="318"/>
      <c r="J84" s="318"/>
      <c r="K84" s="318"/>
      <c r="L84" s="318"/>
      <c r="M84" s="319"/>
      <c r="N84" s="187"/>
      <c r="O84" s="187"/>
      <c r="P84" s="188"/>
    </row>
    <row r="85" spans="1:16" ht="13.2" customHeight="1" x14ac:dyDescent="0.25">
      <c r="A85" s="186"/>
      <c r="B85" s="317"/>
      <c r="C85" s="318"/>
      <c r="D85" s="318"/>
      <c r="E85" s="318"/>
      <c r="F85" s="318"/>
      <c r="G85" s="318"/>
      <c r="H85" s="318"/>
      <c r="I85" s="318"/>
      <c r="J85" s="318"/>
      <c r="K85" s="318"/>
      <c r="L85" s="318"/>
      <c r="M85" s="319"/>
      <c r="N85" s="187"/>
      <c r="O85" s="187"/>
      <c r="P85" s="188"/>
    </row>
    <row r="86" spans="1:16" ht="13.2" customHeight="1" x14ac:dyDescent="0.25">
      <c r="A86" s="186"/>
      <c r="B86" s="317"/>
      <c r="C86" s="318"/>
      <c r="D86" s="318"/>
      <c r="E86" s="318"/>
      <c r="F86" s="318"/>
      <c r="G86" s="318"/>
      <c r="H86" s="318"/>
      <c r="I86" s="318"/>
      <c r="J86" s="318"/>
      <c r="K86" s="318"/>
      <c r="L86" s="318"/>
      <c r="M86" s="319"/>
      <c r="N86" s="187"/>
      <c r="O86" s="187"/>
      <c r="P86" s="188"/>
    </row>
    <row r="87" spans="1:16" ht="13.2" customHeight="1" x14ac:dyDescent="0.25">
      <c r="A87" s="186"/>
      <c r="B87" s="317"/>
      <c r="C87" s="318"/>
      <c r="D87" s="318"/>
      <c r="E87" s="318"/>
      <c r="F87" s="318"/>
      <c r="G87" s="318"/>
      <c r="H87" s="318"/>
      <c r="I87" s="318"/>
      <c r="J87" s="318"/>
      <c r="K87" s="318"/>
      <c r="L87" s="318"/>
      <c r="M87" s="319"/>
      <c r="N87" s="187"/>
      <c r="O87" s="187"/>
      <c r="P87" s="188"/>
    </row>
    <row r="88" spans="1:16" ht="13.2" customHeight="1" x14ac:dyDescent="0.25">
      <c r="A88" s="186"/>
      <c r="B88" s="317"/>
      <c r="C88" s="318"/>
      <c r="D88" s="318"/>
      <c r="E88" s="318"/>
      <c r="F88" s="318"/>
      <c r="G88" s="318"/>
      <c r="H88" s="318"/>
      <c r="I88" s="318"/>
      <c r="J88" s="318"/>
      <c r="K88" s="318"/>
      <c r="L88" s="318"/>
      <c r="M88" s="319"/>
      <c r="N88" s="187"/>
      <c r="O88" s="187"/>
      <c r="P88" s="188"/>
    </row>
    <row r="89" spans="1:16" ht="13.2" customHeight="1" x14ac:dyDescent="0.25">
      <c r="A89" s="186"/>
      <c r="B89" s="317"/>
      <c r="C89" s="318"/>
      <c r="D89" s="318"/>
      <c r="E89" s="318"/>
      <c r="F89" s="318"/>
      <c r="G89" s="318"/>
      <c r="H89" s="318"/>
      <c r="I89" s="318"/>
      <c r="J89" s="318"/>
      <c r="K89" s="318"/>
      <c r="L89" s="318"/>
      <c r="M89" s="319"/>
      <c r="N89" s="187"/>
      <c r="O89" s="187"/>
      <c r="P89" s="188"/>
    </row>
    <row r="90" spans="1:16" ht="13.2" customHeight="1" x14ac:dyDescent="0.25">
      <c r="A90" s="186"/>
      <c r="B90" s="317"/>
      <c r="C90" s="318"/>
      <c r="D90" s="318"/>
      <c r="E90" s="318"/>
      <c r="F90" s="318"/>
      <c r="G90" s="318"/>
      <c r="H90" s="318"/>
      <c r="I90" s="318"/>
      <c r="J90" s="318"/>
      <c r="K90" s="318"/>
      <c r="L90" s="318"/>
      <c r="M90" s="319"/>
      <c r="N90" s="187"/>
      <c r="O90" s="187"/>
      <c r="P90" s="188"/>
    </row>
    <row r="91" spans="1:16" ht="13.2" customHeight="1" x14ac:dyDescent="0.25">
      <c r="A91" s="186"/>
      <c r="B91" s="317"/>
      <c r="C91" s="318"/>
      <c r="D91" s="318"/>
      <c r="E91" s="318"/>
      <c r="F91" s="318"/>
      <c r="G91" s="318"/>
      <c r="H91" s="318"/>
      <c r="I91" s="318"/>
      <c r="J91" s="318"/>
      <c r="K91" s="318"/>
      <c r="L91" s="318"/>
      <c r="M91" s="319"/>
      <c r="N91" s="187"/>
      <c r="O91" s="187"/>
      <c r="P91" s="188"/>
    </row>
    <row r="92" spans="1:16" ht="13.2" customHeight="1" x14ac:dyDescent="0.25">
      <c r="A92" s="186"/>
      <c r="B92" s="317"/>
      <c r="C92" s="318"/>
      <c r="D92" s="318"/>
      <c r="E92" s="318"/>
      <c r="F92" s="318"/>
      <c r="G92" s="318"/>
      <c r="H92" s="318"/>
      <c r="I92" s="318"/>
      <c r="J92" s="318"/>
      <c r="K92" s="318"/>
      <c r="L92" s="318"/>
      <c r="M92" s="319"/>
      <c r="N92" s="187"/>
      <c r="O92" s="187"/>
      <c r="P92" s="188"/>
    </row>
    <row r="93" spans="1:16" ht="13.2" customHeight="1" x14ac:dyDescent="0.25">
      <c r="A93" s="186"/>
      <c r="B93" s="317"/>
      <c r="C93" s="318"/>
      <c r="D93" s="318"/>
      <c r="E93" s="318"/>
      <c r="F93" s="318"/>
      <c r="G93" s="318"/>
      <c r="H93" s="318"/>
      <c r="I93" s="318"/>
      <c r="J93" s="318"/>
      <c r="K93" s="318"/>
      <c r="L93" s="318"/>
      <c r="M93" s="319"/>
      <c r="N93" s="187"/>
      <c r="O93" s="187"/>
      <c r="P93" s="188"/>
    </row>
    <row r="94" spans="1:16" ht="13.2" customHeight="1" x14ac:dyDescent="0.25">
      <c r="A94" s="186"/>
      <c r="B94" s="317"/>
      <c r="C94" s="318"/>
      <c r="D94" s="318"/>
      <c r="E94" s="318"/>
      <c r="F94" s="318"/>
      <c r="G94" s="318"/>
      <c r="H94" s="318"/>
      <c r="I94" s="318"/>
      <c r="J94" s="318"/>
      <c r="K94" s="318"/>
      <c r="L94" s="318"/>
      <c r="M94" s="319"/>
      <c r="N94" s="187"/>
      <c r="O94" s="187"/>
      <c r="P94" s="188"/>
    </row>
    <row r="95" spans="1:16" ht="13.2" customHeight="1" x14ac:dyDescent="0.25">
      <c r="A95" s="186"/>
      <c r="B95" s="317"/>
      <c r="C95" s="318"/>
      <c r="D95" s="318"/>
      <c r="E95" s="318"/>
      <c r="F95" s="318"/>
      <c r="G95" s="318"/>
      <c r="H95" s="318"/>
      <c r="I95" s="318"/>
      <c r="J95" s="318"/>
      <c r="K95" s="318"/>
      <c r="L95" s="318"/>
      <c r="M95" s="319"/>
      <c r="N95" s="187"/>
      <c r="O95" s="187"/>
      <c r="P95" s="188"/>
    </row>
    <row r="96" spans="1:16" ht="13.2" customHeight="1" x14ac:dyDescent="0.25">
      <c r="A96" s="186"/>
      <c r="B96" s="317"/>
      <c r="C96" s="318"/>
      <c r="D96" s="318"/>
      <c r="E96" s="318"/>
      <c r="F96" s="318"/>
      <c r="G96" s="318"/>
      <c r="H96" s="318"/>
      <c r="I96" s="318"/>
      <c r="J96" s="318"/>
      <c r="K96" s="318"/>
      <c r="L96" s="318"/>
      <c r="M96" s="319"/>
      <c r="N96" s="187"/>
      <c r="O96" s="187"/>
      <c r="P96" s="188"/>
    </row>
    <row r="97" spans="1:16" ht="13.2" customHeight="1" x14ac:dyDescent="0.25">
      <c r="A97" s="186"/>
      <c r="B97" s="317"/>
      <c r="C97" s="318"/>
      <c r="D97" s="318"/>
      <c r="E97" s="318"/>
      <c r="F97" s="318"/>
      <c r="G97" s="318"/>
      <c r="H97" s="318"/>
      <c r="I97" s="318"/>
      <c r="J97" s="318"/>
      <c r="K97" s="318"/>
      <c r="L97" s="318"/>
      <c r="M97" s="319"/>
      <c r="N97" s="187"/>
      <c r="O97" s="187"/>
      <c r="P97" s="188"/>
    </row>
    <row r="98" spans="1:16" ht="13.2" customHeight="1" x14ac:dyDescent="0.25">
      <c r="A98" s="186"/>
      <c r="B98" s="317"/>
      <c r="C98" s="318"/>
      <c r="D98" s="318"/>
      <c r="E98" s="318"/>
      <c r="F98" s="318"/>
      <c r="G98" s="318"/>
      <c r="H98" s="318"/>
      <c r="I98" s="318"/>
      <c r="J98" s="318"/>
      <c r="K98" s="318"/>
      <c r="L98" s="318"/>
      <c r="M98" s="319"/>
      <c r="N98" s="187"/>
      <c r="O98" s="187"/>
      <c r="P98" s="188"/>
    </row>
    <row r="99" spans="1:16" ht="13.2" customHeight="1" x14ac:dyDescent="0.25">
      <c r="A99" s="186"/>
      <c r="B99" s="317"/>
      <c r="C99" s="318"/>
      <c r="D99" s="318"/>
      <c r="E99" s="318"/>
      <c r="F99" s="318"/>
      <c r="G99" s="318"/>
      <c r="H99" s="318"/>
      <c r="I99" s="318"/>
      <c r="J99" s="318"/>
      <c r="K99" s="318"/>
      <c r="L99" s="318"/>
      <c r="M99" s="319"/>
      <c r="N99" s="187"/>
      <c r="O99" s="187"/>
      <c r="P99" s="188"/>
    </row>
    <row r="100" spans="1:16" x14ac:dyDescent="0.25">
      <c r="A100" s="186"/>
      <c r="B100" s="317"/>
      <c r="C100" s="318"/>
      <c r="D100" s="318"/>
      <c r="E100" s="318"/>
      <c r="F100" s="318"/>
      <c r="G100" s="318"/>
      <c r="H100" s="318"/>
      <c r="I100" s="318"/>
      <c r="J100" s="318"/>
      <c r="K100" s="318"/>
      <c r="L100" s="318"/>
      <c r="M100" s="319"/>
      <c r="N100" s="187"/>
      <c r="O100" s="187"/>
      <c r="P100" s="188"/>
    </row>
    <row r="101" spans="1:16" x14ac:dyDescent="0.25">
      <c r="A101" s="186"/>
      <c r="B101" s="317"/>
      <c r="C101" s="318"/>
      <c r="D101" s="318"/>
      <c r="E101" s="318"/>
      <c r="F101" s="318"/>
      <c r="G101" s="318"/>
      <c r="H101" s="318"/>
      <c r="I101" s="318"/>
      <c r="J101" s="318"/>
      <c r="K101" s="318"/>
      <c r="L101" s="318"/>
      <c r="M101" s="319"/>
      <c r="N101" s="187"/>
      <c r="O101" s="187"/>
      <c r="P101" s="188"/>
    </row>
    <row r="102" spans="1:16" x14ac:dyDescent="0.25">
      <c r="A102" s="186"/>
      <c r="B102" s="317"/>
      <c r="C102" s="318"/>
      <c r="D102" s="318"/>
      <c r="E102" s="318"/>
      <c r="F102" s="318"/>
      <c r="G102" s="318"/>
      <c r="H102" s="318"/>
      <c r="I102" s="318"/>
      <c r="J102" s="318"/>
      <c r="K102" s="318"/>
      <c r="L102" s="318"/>
      <c r="M102" s="319"/>
      <c r="N102" s="187"/>
      <c r="O102" s="187"/>
      <c r="P102" s="188"/>
    </row>
    <row r="103" spans="1:16" x14ac:dyDescent="0.25">
      <c r="A103" s="186"/>
      <c r="B103" s="317"/>
      <c r="C103" s="318"/>
      <c r="D103" s="318"/>
      <c r="E103" s="318"/>
      <c r="F103" s="318"/>
      <c r="G103" s="318"/>
      <c r="H103" s="318"/>
      <c r="I103" s="318"/>
      <c r="J103" s="318"/>
      <c r="K103" s="318"/>
      <c r="L103" s="318"/>
      <c r="M103" s="319"/>
      <c r="N103" s="187"/>
      <c r="O103" s="187"/>
      <c r="P103" s="188"/>
    </row>
    <row r="104" spans="1:16" x14ac:dyDescent="0.25">
      <c r="A104" s="186"/>
      <c r="B104" s="317"/>
      <c r="C104" s="318"/>
      <c r="D104" s="318"/>
      <c r="E104" s="318"/>
      <c r="F104" s="318"/>
      <c r="G104" s="318"/>
      <c r="H104" s="318"/>
      <c r="I104" s="318"/>
      <c r="J104" s="318"/>
      <c r="K104" s="318"/>
      <c r="L104" s="318"/>
      <c r="M104" s="319"/>
      <c r="N104" s="187"/>
      <c r="O104" s="187"/>
      <c r="P104" s="188"/>
    </row>
    <row r="105" spans="1:16" x14ac:dyDescent="0.25">
      <c r="A105" s="186"/>
      <c r="B105" s="317"/>
      <c r="C105" s="318"/>
      <c r="D105" s="318"/>
      <c r="E105" s="318"/>
      <c r="F105" s="318"/>
      <c r="G105" s="318"/>
      <c r="H105" s="318"/>
      <c r="I105" s="318"/>
      <c r="J105" s="318"/>
      <c r="K105" s="318"/>
      <c r="L105" s="318"/>
      <c r="M105" s="319"/>
      <c r="N105" s="187"/>
      <c r="O105" s="187"/>
      <c r="P105" s="188"/>
    </row>
    <row r="106" spans="1:16" x14ac:dyDescent="0.25">
      <c r="A106" s="186"/>
      <c r="B106" s="317"/>
      <c r="C106" s="318"/>
      <c r="D106" s="318"/>
      <c r="E106" s="318"/>
      <c r="F106" s="318"/>
      <c r="G106" s="318"/>
      <c r="H106" s="318"/>
      <c r="I106" s="318"/>
      <c r="J106" s="318"/>
      <c r="K106" s="318"/>
      <c r="L106" s="318"/>
      <c r="M106" s="319"/>
      <c r="N106" s="187"/>
      <c r="O106" s="187"/>
      <c r="P106" s="188"/>
    </row>
    <row r="107" spans="1:16" x14ac:dyDescent="0.25">
      <c r="A107" s="186"/>
      <c r="B107" s="317"/>
      <c r="C107" s="318"/>
      <c r="D107" s="318"/>
      <c r="E107" s="318"/>
      <c r="F107" s="318"/>
      <c r="G107" s="318"/>
      <c r="H107" s="318"/>
      <c r="I107" s="318"/>
      <c r="J107" s="318"/>
      <c r="K107" s="318"/>
      <c r="L107" s="318"/>
      <c r="M107" s="319"/>
      <c r="N107" s="187"/>
      <c r="O107" s="187"/>
      <c r="P107" s="188"/>
    </row>
    <row r="108" spans="1:16" x14ac:dyDescent="0.25">
      <c r="A108" s="186"/>
      <c r="B108" s="317"/>
      <c r="C108" s="318"/>
      <c r="D108" s="318"/>
      <c r="E108" s="318"/>
      <c r="F108" s="318"/>
      <c r="G108" s="318"/>
      <c r="H108" s="318"/>
      <c r="I108" s="318"/>
      <c r="J108" s="318"/>
      <c r="K108" s="318"/>
      <c r="L108" s="318"/>
      <c r="M108" s="319"/>
      <c r="N108" s="187"/>
      <c r="O108" s="187"/>
      <c r="P108" s="188"/>
    </row>
    <row r="109" spans="1:16" x14ac:dyDescent="0.25">
      <c r="A109" s="186"/>
      <c r="B109" s="317"/>
      <c r="C109" s="318"/>
      <c r="D109" s="318"/>
      <c r="E109" s="318"/>
      <c r="F109" s="318"/>
      <c r="G109" s="318"/>
      <c r="H109" s="318"/>
      <c r="I109" s="318"/>
      <c r="J109" s="318"/>
      <c r="K109" s="318"/>
      <c r="L109" s="318"/>
      <c r="M109" s="319"/>
      <c r="N109" s="187"/>
      <c r="O109" s="187"/>
      <c r="P109" s="188"/>
    </row>
    <row r="110" spans="1:16" x14ac:dyDescent="0.25">
      <c r="A110" s="186"/>
      <c r="B110" s="317"/>
      <c r="C110" s="318"/>
      <c r="D110" s="318"/>
      <c r="E110" s="318"/>
      <c r="F110" s="318"/>
      <c r="G110" s="318"/>
      <c r="H110" s="318"/>
      <c r="I110" s="318"/>
      <c r="J110" s="318"/>
      <c r="K110" s="318"/>
      <c r="L110" s="318"/>
      <c r="M110" s="319"/>
      <c r="N110" s="187"/>
      <c r="O110" s="187"/>
      <c r="P110" s="188"/>
    </row>
    <row r="111" spans="1:16" x14ac:dyDescent="0.25">
      <c r="A111" s="186"/>
      <c r="B111" s="317"/>
      <c r="C111" s="318"/>
      <c r="D111" s="318"/>
      <c r="E111" s="318"/>
      <c r="F111" s="318"/>
      <c r="G111" s="318"/>
      <c r="H111" s="318"/>
      <c r="I111" s="318"/>
      <c r="J111" s="318"/>
      <c r="K111" s="318"/>
      <c r="L111" s="318"/>
      <c r="M111" s="319"/>
      <c r="N111" s="187"/>
      <c r="O111" s="187"/>
      <c r="P111" s="188"/>
    </row>
    <row r="112" spans="1:16" x14ac:dyDescent="0.25">
      <c r="A112" s="186"/>
      <c r="B112" s="317"/>
      <c r="C112" s="318"/>
      <c r="D112" s="318"/>
      <c r="E112" s="318"/>
      <c r="F112" s="318"/>
      <c r="G112" s="318"/>
      <c r="H112" s="318"/>
      <c r="I112" s="318"/>
      <c r="J112" s="318"/>
      <c r="K112" s="318"/>
      <c r="L112" s="318"/>
      <c r="M112" s="319"/>
      <c r="N112" s="187"/>
      <c r="O112" s="187"/>
      <c r="P112" s="188"/>
    </row>
    <row r="113" spans="1:16" x14ac:dyDescent="0.25">
      <c r="A113" s="186"/>
      <c r="B113" s="317"/>
      <c r="C113" s="318"/>
      <c r="D113" s="318"/>
      <c r="E113" s="318"/>
      <c r="F113" s="318"/>
      <c r="G113" s="318"/>
      <c r="H113" s="318"/>
      <c r="I113" s="318"/>
      <c r="J113" s="318"/>
      <c r="K113" s="318"/>
      <c r="L113" s="318"/>
      <c r="M113" s="319"/>
      <c r="N113" s="187"/>
      <c r="O113" s="187"/>
      <c r="P113" s="188"/>
    </row>
    <row r="114" spans="1:16" x14ac:dyDescent="0.25">
      <c r="A114" s="186"/>
      <c r="B114" s="317"/>
      <c r="C114" s="318"/>
      <c r="D114" s="318"/>
      <c r="E114" s="318"/>
      <c r="F114" s="318"/>
      <c r="G114" s="318"/>
      <c r="H114" s="318"/>
      <c r="I114" s="318"/>
      <c r="J114" s="318"/>
      <c r="K114" s="318"/>
      <c r="L114" s="318"/>
      <c r="M114" s="319"/>
      <c r="N114" s="187"/>
      <c r="O114" s="187"/>
      <c r="P114" s="188"/>
    </row>
    <row r="115" spans="1:16" x14ac:dyDescent="0.25">
      <c r="A115" s="186"/>
      <c r="B115" s="317"/>
      <c r="C115" s="318"/>
      <c r="D115" s="318"/>
      <c r="E115" s="318"/>
      <c r="F115" s="318"/>
      <c r="G115" s="318"/>
      <c r="H115" s="318"/>
      <c r="I115" s="318"/>
      <c r="J115" s="318"/>
      <c r="K115" s="318"/>
      <c r="L115" s="318"/>
      <c r="M115" s="319"/>
      <c r="N115" s="187"/>
      <c r="O115" s="187"/>
      <c r="P115" s="188"/>
    </row>
    <row r="116" spans="1:16" x14ac:dyDescent="0.25">
      <c r="A116" s="186"/>
      <c r="B116" s="317"/>
      <c r="C116" s="318"/>
      <c r="D116" s="318"/>
      <c r="E116" s="318"/>
      <c r="F116" s="318"/>
      <c r="G116" s="318"/>
      <c r="H116" s="318"/>
      <c r="I116" s="318"/>
      <c r="J116" s="318"/>
      <c r="K116" s="318"/>
      <c r="L116" s="318"/>
      <c r="M116" s="319"/>
      <c r="N116" s="187"/>
      <c r="O116" s="187"/>
      <c r="P116" s="188"/>
    </row>
    <row r="117" spans="1:16" x14ac:dyDescent="0.25">
      <c r="A117" s="186"/>
      <c r="B117" s="317"/>
      <c r="C117" s="318"/>
      <c r="D117" s="318"/>
      <c r="E117" s="318"/>
      <c r="F117" s="318"/>
      <c r="G117" s="318"/>
      <c r="H117" s="318"/>
      <c r="I117" s="318"/>
      <c r="J117" s="318"/>
      <c r="K117" s="318"/>
      <c r="L117" s="318"/>
      <c r="M117" s="319"/>
      <c r="N117" s="187"/>
      <c r="O117" s="187"/>
      <c r="P117" s="188"/>
    </row>
    <row r="118" spans="1:16" x14ac:dyDescent="0.25">
      <c r="A118" s="186"/>
      <c r="B118" s="317"/>
      <c r="C118" s="318"/>
      <c r="D118" s="318"/>
      <c r="E118" s="318"/>
      <c r="F118" s="318"/>
      <c r="G118" s="318"/>
      <c r="H118" s="318"/>
      <c r="I118" s="318"/>
      <c r="J118" s="318"/>
      <c r="K118" s="318"/>
      <c r="L118" s="318"/>
      <c r="M118" s="319"/>
      <c r="N118" s="187"/>
      <c r="O118" s="187"/>
      <c r="P118" s="188"/>
    </row>
    <row r="119" spans="1:16" x14ac:dyDescent="0.25">
      <c r="A119" s="186"/>
      <c r="B119" s="317"/>
      <c r="C119" s="318"/>
      <c r="D119" s="318"/>
      <c r="E119" s="318"/>
      <c r="F119" s="318"/>
      <c r="G119" s="318"/>
      <c r="H119" s="318"/>
      <c r="I119" s="318"/>
      <c r="J119" s="318"/>
      <c r="K119" s="318"/>
      <c r="L119" s="318"/>
      <c r="M119" s="319"/>
      <c r="N119" s="187"/>
      <c r="O119" s="187"/>
      <c r="P119" s="188"/>
    </row>
    <row r="120" spans="1:16" ht="13.8" thickBot="1" x14ac:dyDescent="0.3">
      <c r="A120" s="186"/>
      <c r="B120" s="320"/>
      <c r="C120" s="321"/>
      <c r="D120" s="321"/>
      <c r="E120" s="321"/>
      <c r="F120" s="321"/>
      <c r="G120" s="321"/>
      <c r="H120" s="321"/>
      <c r="I120" s="321"/>
      <c r="J120" s="321"/>
      <c r="K120" s="321"/>
      <c r="L120" s="321"/>
      <c r="M120" s="322"/>
      <c r="N120" s="187"/>
      <c r="O120" s="187"/>
      <c r="P120" s="188"/>
    </row>
    <row r="121" spans="1:16" x14ac:dyDescent="0.25">
      <c r="A121" s="186"/>
      <c r="B121" s="187"/>
      <c r="C121" s="187"/>
      <c r="D121" s="187"/>
      <c r="E121" s="187"/>
      <c r="F121" s="187"/>
      <c r="G121" s="187"/>
      <c r="H121" s="187"/>
      <c r="I121" s="187"/>
      <c r="J121" s="187"/>
      <c r="K121" s="187"/>
      <c r="L121" s="187"/>
      <c r="M121" s="187"/>
      <c r="N121" s="187"/>
      <c r="O121" s="187"/>
      <c r="P121" s="188"/>
    </row>
    <row r="122" spans="1:16" x14ac:dyDescent="0.25">
      <c r="A122" s="186"/>
      <c r="B122" s="187"/>
      <c r="C122" s="187"/>
      <c r="D122" s="187"/>
      <c r="E122" s="187"/>
      <c r="F122" s="187"/>
      <c r="G122" s="187"/>
      <c r="H122" s="187"/>
      <c r="I122" s="187"/>
      <c r="J122" s="187"/>
      <c r="K122" s="187"/>
      <c r="L122" s="187"/>
      <c r="M122" s="187"/>
      <c r="N122" s="187"/>
      <c r="O122" s="187"/>
      <c r="P122" s="188"/>
    </row>
    <row r="123" spans="1:16" ht="13.8" thickBot="1" x14ac:dyDescent="0.3">
      <c r="A123" s="200"/>
      <c r="B123" s="201"/>
      <c r="C123" s="201"/>
      <c r="D123" s="201"/>
      <c r="E123" s="201"/>
      <c r="F123" s="201"/>
      <c r="G123" s="201"/>
      <c r="H123" s="201"/>
      <c r="I123" s="201"/>
      <c r="J123" s="201"/>
      <c r="K123" s="201"/>
      <c r="L123" s="201"/>
      <c r="M123" s="201"/>
      <c r="N123" s="201"/>
      <c r="O123" s="201"/>
      <c r="P123" s="202"/>
    </row>
    <row r="124" spans="1:16" ht="13.8" thickTop="1" x14ac:dyDescent="0.25"/>
  </sheetData>
  <sheetProtection selectLockedCells="1"/>
  <mergeCells count="1">
    <mergeCell ref="B58:M120"/>
  </mergeCells>
  <phoneticPr fontId="58" type="noConversion"/>
  <hyperlinks>
    <hyperlink ref="I12" r:id="rId1" xr:uid="{00000000-0004-0000-0000-000001000000}"/>
    <hyperlink ref="F13" r:id="rId2" xr:uid="{D08B2968-3C79-42D9-B6F1-6F15B04EB163}"/>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sheetPr>
  <dimension ref="A1:BD233"/>
  <sheetViews>
    <sheetView tabSelected="1" topLeftCell="A131" zoomScale="190" zoomScaleNormal="190" zoomScaleSheetLayoutView="100" workbookViewId="0">
      <selection activeCell="F64" sqref="F64"/>
    </sheetView>
  </sheetViews>
  <sheetFormatPr defaultRowHeight="13.2" x14ac:dyDescent="0.25"/>
  <cols>
    <col min="1" max="1" width="0.5546875" customWidth="1"/>
    <col min="2" max="2" width="30" customWidth="1"/>
    <col min="3" max="3" width="15.21875" customWidth="1"/>
    <col min="4" max="4" width="18.33203125" customWidth="1"/>
    <col min="5" max="5" width="20.77734375" customWidth="1"/>
    <col min="6" max="6" width="30.77734375" customWidth="1"/>
    <col min="7" max="7" width="30.77734375" style="1" customWidth="1"/>
    <col min="8" max="8" width="27.21875" bestFit="1" customWidth="1"/>
    <col min="9" max="9" width="12.77734375" customWidth="1"/>
    <col min="11" max="11" width="10.21875" customWidth="1"/>
    <col min="12" max="12" width="8.77734375" customWidth="1"/>
    <col min="13" max="13" width="9.77734375" customWidth="1"/>
    <col min="14" max="19" width="0" hidden="1" customWidth="1"/>
    <col min="20" max="20" width="2.77734375" hidden="1" customWidth="1"/>
    <col min="21" max="21" width="3" hidden="1" customWidth="1"/>
    <col min="22" max="22" width="1.21875" hidden="1" customWidth="1"/>
    <col min="23" max="23" width="3.77734375" hidden="1" customWidth="1"/>
    <col min="24" max="38" width="0" hidden="1" customWidth="1"/>
    <col min="39" max="39" width="11.77734375" customWidth="1"/>
    <col min="40" max="40" width="14.21875" customWidth="1"/>
    <col min="41" max="41" width="9.21875" customWidth="1"/>
    <col min="42" max="42" width="12.21875" hidden="1" customWidth="1"/>
    <col min="43" max="43" width="12" hidden="1" customWidth="1"/>
    <col min="44" max="44" width="13.44140625" hidden="1" customWidth="1"/>
    <col min="45" max="45" width="23.44140625" hidden="1" customWidth="1"/>
    <col min="46" max="46" width="28.44140625" hidden="1" customWidth="1"/>
    <col min="47" max="47" width="6.77734375" hidden="1" customWidth="1"/>
    <col min="48" max="48" width="19.21875" hidden="1" customWidth="1"/>
    <col min="49" max="49" width="13.5546875" hidden="1" customWidth="1"/>
    <col min="50" max="50" width="14.77734375" hidden="1" customWidth="1"/>
    <col min="51" max="51" width="14.21875" hidden="1" customWidth="1"/>
    <col min="52" max="52" width="23.44140625" hidden="1" customWidth="1"/>
    <col min="53" max="53" width="27.21875" hidden="1" customWidth="1"/>
    <col min="54" max="54" width="6.77734375" hidden="1" customWidth="1"/>
    <col min="55" max="55" width="19.21875" hidden="1" customWidth="1"/>
    <col min="56" max="56" width="13.5546875" hidden="1" customWidth="1"/>
    <col min="57" max="57" width="13.77734375" customWidth="1"/>
    <col min="58" max="59" width="14.44140625" customWidth="1"/>
    <col min="60" max="60" width="15.44140625" customWidth="1"/>
    <col min="61" max="61" width="15.21875" customWidth="1"/>
    <col min="62" max="62" width="15.77734375" customWidth="1"/>
    <col min="63" max="63" width="12.5546875" customWidth="1"/>
    <col min="64" max="64" width="16.77734375" customWidth="1"/>
    <col min="65" max="65" width="15.44140625" customWidth="1"/>
    <col min="66" max="66" width="14.5546875" customWidth="1"/>
    <col min="67" max="67" width="10" customWidth="1"/>
    <col min="68" max="68" width="6.21875" customWidth="1"/>
    <col min="69" max="69" width="7.21875" customWidth="1"/>
    <col min="70" max="70" width="8.21875" customWidth="1"/>
    <col min="71" max="71" width="4.77734375" customWidth="1"/>
  </cols>
  <sheetData>
    <row r="1" spans="1:47" s="105" customFormat="1" ht="60.75" customHeight="1" x14ac:dyDescent="0.3">
      <c r="A1" s="327" t="s">
        <v>686</v>
      </c>
      <c r="B1" s="328"/>
      <c r="C1" s="328"/>
      <c r="D1" s="328"/>
      <c r="E1" s="328"/>
      <c r="F1" s="328"/>
      <c r="G1" s="328"/>
      <c r="H1" s="328"/>
      <c r="I1" s="328"/>
      <c r="J1" s="328"/>
      <c r="K1" s="328"/>
      <c r="L1" s="328"/>
      <c r="M1" s="328"/>
      <c r="N1" s="33"/>
      <c r="O1" s="33"/>
      <c r="P1" s="33"/>
      <c r="Q1" s="33"/>
      <c r="R1" s="32"/>
      <c r="S1" s="32"/>
      <c r="T1" s="31"/>
      <c r="U1" s="31"/>
      <c r="V1" s="31"/>
      <c r="W1" s="31"/>
      <c r="X1" s="31"/>
      <c r="Y1" s="31"/>
      <c r="Z1" s="31"/>
      <c r="AA1" s="31"/>
      <c r="AB1" s="31"/>
      <c r="AC1" s="31"/>
      <c r="AD1" s="31"/>
      <c r="AE1" s="31"/>
      <c r="AF1" s="31"/>
      <c r="AG1" s="31"/>
      <c r="AH1" s="31"/>
      <c r="AI1" s="31"/>
      <c r="AJ1" s="31"/>
      <c r="AK1" s="31"/>
      <c r="AL1" s="31"/>
      <c r="AM1" s="285"/>
      <c r="AN1" s="285"/>
      <c r="AO1" s="285"/>
    </row>
    <row r="2" spans="1:47" ht="15" customHeight="1" x14ac:dyDescent="0.25">
      <c r="A2" s="17"/>
      <c r="B2" s="30" t="s">
        <v>104</v>
      </c>
      <c r="C2" s="17"/>
      <c r="D2" s="17"/>
      <c r="E2" s="17"/>
      <c r="F2" s="18"/>
      <c r="G2" s="18"/>
      <c r="H2" s="17"/>
      <c r="I2" s="17"/>
      <c r="J2" s="17"/>
      <c r="K2" s="17"/>
      <c r="L2" s="326"/>
      <c r="M2" s="326"/>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28"/>
      <c r="AO2" s="28"/>
    </row>
    <row r="3" spans="1:47" ht="15" customHeight="1" x14ac:dyDescent="0.25">
      <c r="A3" s="17"/>
      <c r="B3" s="17"/>
      <c r="C3" s="17"/>
      <c r="D3" s="17"/>
      <c r="E3" s="17"/>
      <c r="F3" s="17"/>
      <c r="G3" s="18"/>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28"/>
      <c r="AO3" s="28"/>
    </row>
    <row r="4" spans="1:47" ht="15" customHeight="1" x14ac:dyDescent="0.25">
      <c r="A4" s="17"/>
      <c r="B4" s="17"/>
      <c r="C4" s="17"/>
      <c r="D4" s="17"/>
      <c r="E4" s="17"/>
      <c r="F4" s="17"/>
      <c r="G4" s="18"/>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28"/>
      <c r="AO4" s="28"/>
    </row>
    <row r="5" spans="1:47" ht="15" customHeight="1" x14ac:dyDescent="0.25">
      <c r="A5" s="17"/>
      <c r="B5" s="17"/>
      <c r="C5" s="17"/>
      <c r="D5" s="17"/>
      <c r="E5" s="17"/>
      <c r="F5" s="17"/>
      <c r="G5" s="18"/>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28"/>
      <c r="AO5" s="28"/>
    </row>
    <row r="6" spans="1:47" ht="15" customHeight="1" x14ac:dyDescent="0.25">
      <c r="A6" s="17"/>
      <c r="B6" s="17"/>
      <c r="C6" s="17"/>
      <c r="D6" s="17"/>
      <c r="E6" s="17"/>
      <c r="F6" s="17"/>
      <c r="G6" s="18"/>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28"/>
      <c r="AO6" s="28"/>
    </row>
    <row r="7" spans="1:47" ht="15" customHeight="1" x14ac:dyDescent="0.25">
      <c r="A7" s="17"/>
      <c r="B7" s="17"/>
      <c r="C7" s="17"/>
      <c r="D7" s="17"/>
      <c r="E7" s="17"/>
      <c r="F7" s="17"/>
      <c r="G7" s="18"/>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28"/>
      <c r="AO7" s="28"/>
    </row>
    <row r="8" spans="1:47" ht="15" customHeight="1" thickBot="1" x14ac:dyDescent="0.3">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28"/>
      <c r="AO8" s="28"/>
    </row>
    <row r="9" spans="1:47" ht="15" customHeight="1" x14ac:dyDescent="0.25">
      <c r="A9" s="17"/>
      <c r="B9" s="302"/>
      <c r="C9" s="303"/>
      <c r="D9" s="303"/>
      <c r="E9" s="303"/>
      <c r="F9" s="304"/>
      <c r="G9" s="305"/>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303"/>
      <c r="AO9" s="306"/>
    </row>
    <row r="10" spans="1:47" ht="15" customHeight="1" x14ac:dyDescent="0.25">
      <c r="A10" s="17"/>
      <c r="B10" s="297"/>
      <c r="C10" s="171"/>
      <c r="D10" s="107" t="s">
        <v>367</v>
      </c>
      <c r="E10" s="1"/>
      <c r="F10" s="17"/>
      <c r="G10" s="18"/>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28"/>
      <c r="AO10" s="127"/>
    </row>
    <row r="11" spans="1:47" ht="15" customHeight="1" x14ac:dyDescent="0.25">
      <c r="A11" s="17"/>
      <c r="B11" s="297"/>
      <c r="C11" s="19"/>
      <c r="D11" s="17" t="s">
        <v>103</v>
      </c>
      <c r="E11" s="98"/>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28"/>
      <c r="AO11" s="127"/>
    </row>
    <row r="12" spans="1:47" ht="15" customHeight="1" x14ac:dyDescent="0.25">
      <c r="A12" s="17"/>
      <c r="B12" s="297"/>
      <c r="C12" s="178"/>
      <c r="D12" s="342" t="s">
        <v>460</v>
      </c>
      <c r="E12" s="343"/>
      <c r="F12" s="343"/>
      <c r="G12" s="18"/>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28"/>
      <c r="AO12" s="127"/>
    </row>
    <row r="13" spans="1:47" ht="15" customHeight="1" x14ac:dyDescent="0.25">
      <c r="A13" s="17"/>
      <c r="B13" s="297"/>
      <c r="C13" s="177"/>
      <c r="D13" s="342"/>
      <c r="E13" s="343"/>
      <c r="F13" s="343"/>
      <c r="G13" s="18"/>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28"/>
      <c r="AO13" s="127"/>
    </row>
    <row r="14" spans="1:47" ht="15" customHeight="1" x14ac:dyDescent="0.25">
      <c r="A14" s="17"/>
      <c r="B14" s="298"/>
      <c r="C14" s="210"/>
      <c r="D14" s="220"/>
      <c r="E14" s="220"/>
      <c r="F14" s="220"/>
      <c r="G14" s="220"/>
      <c r="H14" s="221"/>
      <c r="I14" s="204"/>
      <c r="J14" s="204"/>
      <c r="K14" s="204"/>
      <c r="L14" s="204"/>
      <c r="M14" s="204"/>
      <c r="N14" s="204"/>
      <c r="O14" s="204"/>
      <c r="P14" s="204"/>
      <c r="Q14" s="204"/>
      <c r="R14" s="204"/>
      <c r="S14" s="204"/>
      <c r="T14" s="204"/>
      <c r="U14" s="204"/>
      <c r="V14" s="204"/>
      <c r="W14" s="204"/>
      <c r="X14" s="204"/>
      <c r="Y14" s="204"/>
      <c r="Z14" s="204"/>
      <c r="AA14" s="204"/>
      <c r="AB14" s="204"/>
      <c r="AC14" s="204"/>
      <c r="AD14" s="204"/>
      <c r="AE14" s="204"/>
      <c r="AF14" s="204"/>
      <c r="AG14" s="204"/>
      <c r="AH14" s="204"/>
      <c r="AI14" s="204"/>
      <c r="AJ14" s="204"/>
      <c r="AK14" s="204"/>
      <c r="AL14" s="204"/>
      <c r="AM14" s="204"/>
      <c r="AN14" s="28"/>
      <c r="AO14" s="127"/>
      <c r="AU14" s="25" t="s">
        <v>191</v>
      </c>
    </row>
    <row r="15" spans="1:47" ht="15" customHeight="1" x14ac:dyDescent="0.25">
      <c r="A15" s="17"/>
      <c r="B15" s="299"/>
      <c r="C15" s="206"/>
      <c r="D15" s="212" t="s">
        <v>478</v>
      </c>
      <c r="E15" s="207"/>
      <c r="F15" s="204"/>
      <c r="G15" s="204"/>
      <c r="H15" s="204"/>
      <c r="I15" s="204"/>
      <c r="J15" s="204"/>
      <c r="K15" s="204"/>
      <c r="L15" s="204"/>
      <c r="M15" s="204"/>
      <c r="N15" s="204"/>
      <c r="O15" s="204"/>
      <c r="P15" s="204"/>
      <c r="Q15" s="204"/>
      <c r="R15" s="204"/>
      <c r="S15" s="204"/>
      <c r="T15" s="204"/>
      <c r="U15" s="204"/>
      <c r="V15" s="204"/>
      <c r="W15" s="204"/>
      <c r="X15" s="204"/>
      <c r="Y15" s="204"/>
      <c r="Z15" s="204"/>
      <c r="AA15" s="204"/>
      <c r="AB15" s="204"/>
      <c r="AC15" s="204"/>
      <c r="AD15" s="204"/>
      <c r="AE15" s="204"/>
      <c r="AF15" s="204"/>
      <c r="AG15" s="204"/>
      <c r="AH15" s="204"/>
      <c r="AI15" s="204"/>
      <c r="AJ15" s="204"/>
      <c r="AK15" s="204"/>
      <c r="AL15" s="204"/>
      <c r="AM15" s="204"/>
      <c r="AN15" s="28"/>
      <c r="AO15" s="127"/>
    </row>
    <row r="16" spans="1:47" ht="15" customHeight="1" x14ac:dyDescent="0.25">
      <c r="A16" s="17"/>
      <c r="B16" s="300"/>
      <c r="C16" s="204"/>
      <c r="D16" s="333" t="s">
        <v>695</v>
      </c>
      <c r="E16" s="333"/>
      <c r="F16" s="333"/>
      <c r="G16" s="204"/>
      <c r="H16" s="204"/>
      <c r="I16" s="204"/>
      <c r="J16" s="204"/>
      <c r="K16" s="204"/>
      <c r="L16" s="204"/>
      <c r="M16" s="204"/>
      <c r="N16" s="204"/>
      <c r="O16" s="204"/>
      <c r="P16" s="204"/>
      <c r="Q16" s="204"/>
      <c r="R16" s="204"/>
      <c r="S16" s="204"/>
      <c r="T16" s="204"/>
      <c r="U16" s="204"/>
      <c r="V16" s="204"/>
      <c r="W16" s="204"/>
      <c r="X16" s="204"/>
      <c r="Y16" s="204"/>
      <c r="Z16" s="204"/>
      <c r="AA16" s="204"/>
      <c r="AB16" s="204"/>
      <c r="AC16" s="204"/>
      <c r="AD16" s="204"/>
      <c r="AE16" s="204"/>
      <c r="AF16" s="204"/>
      <c r="AG16" s="204"/>
      <c r="AH16" s="204"/>
      <c r="AI16" s="204"/>
      <c r="AJ16" s="204"/>
      <c r="AK16" s="204"/>
      <c r="AL16" s="204"/>
      <c r="AM16" s="204"/>
      <c r="AN16" s="28"/>
      <c r="AO16" s="127"/>
    </row>
    <row r="17" spans="1:42" ht="15" customHeight="1" x14ac:dyDescent="0.25">
      <c r="A17" s="17"/>
      <c r="B17" s="300"/>
      <c r="C17" s="204"/>
      <c r="D17" s="333"/>
      <c r="E17" s="333"/>
      <c r="F17" s="333"/>
      <c r="G17" s="209"/>
      <c r="H17" s="204"/>
      <c r="I17" s="204"/>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4"/>
      <c r="AN17" s="28"/>
      <c r="AO17" s="127"/>
    </row>
    <row r="18" spans="1:42" ht="15" customHeight="1" thickBot="1" x14ac:dyDescent="0.3">
      <c r="A18" s="17"/>
      <c r="B18" s="301"/>
      <c r="C18" s="205"/>
      <c r="D18" s="211"/>
      <c r="E18" s="211"/>
      <c r="F18" s="211"/>
      <c r="G18" s="208"/>
      <c r="H18" s="205"/>
      <c r="I18" s="205"/>
      <c r="J18" s="205"/>
      <c r="K18" s="205"/>
      <c r="L18" s="205"/>
      <c r="M18" s="205"/>
      <c r="N18" s="205"/>
      <c r="O18" s="205"/>
      <c r="P18" s="205"/>
      <c r="Q18" s="205"/>
      <c r="R18" s="205"/>
      <c r="S18" s="205"/>
      <c r="T18" s="205"/>
      <c r="U18" s="205"/>
      <c r="V18" s="205"/>
      <c r="W18" s="205"/>
      <c r="X18" s="205"/>
      <c r="Y18" s="205"/>
      <c r="Z18" s="205"/>
      <c r="AA18" s="205"/>
      <c r="AB18" s="205"/>
      <c r="AC18" s="205"/>
      <c r="AD18" s="205"/>
      <c r="AE18" s="205"/>
      <c r="AF18" s="205"/>
      <c r="AG18" s="205"/>
      <c r="AH18" s="205"/>
      <c r="AI18" s="205"/>
      <c r="AJ18" s="205"/>
      <c r="AK18" s="205"/>
      <c r="AL18" s="205"/>
      <c r="AM18" s="205"/>
      <c r="AN18" s="28"/>
      <c r="AO18" s="307"/>
    </row>
    <row r="19" spans="1:42" ht="15" customHeight="1" x14ac:dyDescent="0.25">
      <c r="A19" s="17"/>
      <c r="B19" s="126" t="s">
        <v>689</v>
      </c>
      <c r="C19" s="73"/>
      <c r="D19" s="73"/>
      <c r="E19" s="74" t="s">
        <v>111</v>
      </c>
      <c r="F19" s="164">
        <v>40</v>
      </c>
      <c r="G19" s="144" t="s">
        <v>86</v>
      </c>
      <c r="H19" s="73"/>
      <c r="I19" s="73"/>
      <c r="J19" s="73"/>
      <c r="K19" s="73"/>
      <c r="L19" s="73"/>
      <c r="M19" s="73"/>
      <c r="N19" s="73"/>
      <c r="O19" s="73"/>
      <c r="P19" s="73"/>
      <c r="Q19" s="73"/>
      <c r="R19" s="73"/>
      <c r="S19" s="73"/>
      <c r="T19" s="73"/>
      <c r="U19" s="73"/>
      <c r="V19" s="73"/>
      <c r="W19" s="73"/>
      <c r="X19" s="73"/>
      <c r="Y19" s="73"/>
      <c r="Z19" s="73"/>
      <c r="AA19" s="73"/>
      <c r="AB19" s="73"/>
      <c r="AC19" s="73"/>
      <c r="AD19" s="73"/>
      <c r="AE19" s="73"/>
      <c r="AF19" s="73"/>
      <c r="AG19" s="73"/>
      <c r="AH19" s="73"/>
      <c r="AI19" s="73"/>
      <c r="AJ19" s="73"/>
      <c r="AK19" s="73"/>
      <c r="AL19" s="73"/>
      <c r="AM19" s="73"/>
      <c r="AN19" s="73"/>
      <c r="AO19" s="106"/>
    </row>
    <row r="20" spans="1:42" ht="15" customHeight="1" x14ac:dyDescent="0.25">
      <c r="A20" s="17"/>
      <c r="B20" s="75"/>
      <c r="C20" s="17"/>
      <c r="D20" s="17"/>
      <c r="E20" s="56" t="s">
        <v>121</v>
      </c>
      <c r="F20" s="165">
        <v>48</v>
      </c>
      <c r="G20" s="145" t="s">
        <v>86</v>
      </c>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87"/>
    </row>
    <row r="21" spans="1:42" ht="15" customHeight="1" x14ac:dyDescent="0.25">
      <c r="A21" s="17"/>
      <c r="B21" s="76"/>
      <c r="C21" s="17"/>
      <c r="D21" s="17"/>
      <c r="E21" s="56" t="s">
        <v>112</v>
      </c>
      <c r="F21" s="165">
        <v>70</v>
      </c>
      <c r="G21" s="145" t="s">
        <v>86</v>
      </c>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87"/>
    </row>
    <row r="22" spans="1:42" ht="15" customHeight="1" x14ac:dyDescent="0.25">
      <c r="A22" s="17"/>
      <c r="B22" s="76"/>
      <c r="C22" s="17"/>
      <c r="D22" s="17"/>
      <c r="E22" s="56" t="s">
        <v>123</v>
      </c>
      <c r="F22" s="165">
        <v>50</v>
      </c>
      <c r="G22" s="145" t="s">
        <v>25</v>
      </c>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87"/>
    </row>
    <row r="23" spans="1:42" ht="15" customHeight="1" x14ac:dyDescent="0.25">
      <c r="A23" s="17"/>
      <c r="B23" s="76"/>
      <c r="C23" s="17"/>
      <c r="D23" s="17"/>
      <c r="E23" s="56" t="s">
        <v>226</v>
      </c>
      <c r="F23" s="165">
        <v>220000</v>
      </c>
      <c r="G23" s="146" t="s">
        <v>83</v>
      </c>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87"/>
    </row>
    <row r="24" spans="1:42" ht="15" customHeight="1" x14ac:dyDescent="0.25">
      <c r="A24" s="17"/>
      <c r="B24" s="76"/>
      <c r="C24" s="17"/>
      <c r="D24" s="17"/>
      <c r="E24" s="56" t="s">
        <v>122</v>
      </c>
      <c r="F24" s="213">
        <v>50</v>
      </c>
      <c r="G24" s="145" t="s">
        <v>125</v>
      </c>
      <c r="H24" s="336" t="s">
        <v>701</v>
      </c>
      <c r="I24" s="33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87"/>
    </row>
    <row r="25" spans="1:42" ht="15" customHeight="1" x14ac:dyDescent="0.25">
      <c r="A25" s="17"/>
      <c r="B25" s="76"/>
      <c r="C25" s="17"/>
      <c r="D25" s="17"/>
      <c r="E25" s="56" t="s">
        <v>481</v>
      </c>
      <c r="F25" s="213">
        <v>80</v>
      </c>
      <c r="G25" s="145"/>
      <c r="H25" s="336"/>
      <c r="I25" s="33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87"/>
    </row>
    <row r="26" spans="1:42" ht="15" customHeight="1" x14ac:dyDescent="0.35">
      <c r="A26" s="17"/>
      <c r="B26" s="76"/>
      <c r="C26" s="17"/>
      <c r="D26" s="17"/>
      <c r="E26" s="29" t="s">
        <v>259</v>
      </c>
      <c r="F26" s="224">
        <v>100</v>
      </c>
      <c r="G26" s="145"/>
      <c r="H26" s="336"/>
      <c r="I26" s="33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87"/>
    </row>
    <row r="27" spans="1:42" ht="15" customHeight="1" x14ac:dyDescent="0.25">
      <c r="A27" s="17"/>
      <c r="B27" s="216"/>
      <c r="C27" s="17"/>
      <c r="D27" s="17"/>
      <c r="E27" s="29" t="s">
        <v>185</v>
      </c>
      <c r="F27" s="168">
        <v>40</v>
      </c>
      <c r="G27" s="146" t="s">
        <v>86</v>
      </c>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87"/>
    </row>
    <row r="28" spans="1:42" ht="15" customHeight="1" x14ac:dyDescent="0.25">
      <c r="A28" s="17"/>
      <c r="B28" s="219"/>
      <c r="C28" s="17"/>
      <c r="D28" s="17"/>
      <c r="E28" s="29" t="s">
        <v>130</v>
      </c>
      <c r="F28" s="168" t="s">
        <v>132</v>
      </c>
      <c r="G28" s="146"/>
      <c r="H28" s="336" t="s">
        <v>647</v>
      </c>
      <c r="I28" s="338"/>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87"/>
    </row>
    <row r="29" spans="1:42" ht="15" customHeight="1" x14ac:dyDescent="0.25">
      <c r="A29" s="17"/>
      <c r="B29" s="76"/>
      <c r="C29" s="17"/>
      <c r="D29" s="17"/>
      <c r="E29" s="29" t="s">
        <v>131</v>
      </c>
      <c r="F29" s="168">
        <v>10</v>
      </c>
      <c r="G29" s="146" t="str">
        <f>IF(F28="Constant Current","A","Ohms")</f>
        <v>A</v>
      </c>
      <c r="H29" s="339"/>
      <c r="I29" s="338"/>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87"/>
    </row>
    <row r="30" spans="1:42" ht="15" customHeight="1" x14ac:dyDescent="0.25">
      <c r="A30" s="17"/>
      <c r="B30" s="76"/>
      <c r="C30" s="17"/>
      <c r="D30" s="17"/>
      <c r="E30" s="56" t="s">
        <v>482</v>
      </c>
      <c r="F30" s="167" t="s">
        <v>643</v>
      </c>
      <c r="G30" s="146"/>
      <c r="H30" s="336" t="s">
        <v>648</v>
      </c>
      <c r="I30" s="338"/>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87"/>
    </row>
    <row r="31" spans="1:42" ht="15" customHeight="1" thickBot="1" x14ac:dyDescent="0.3">
      <c r="A31" s="17"/>
      <c r="B31" s="77"/>
      <c r="C31" s="78"/>
      <c r="D31" s="78"/>
      <c r="E31" s="56" t="s">
        <v>483</v>
      </c>
      <c r="F31" s="225">
        <v>0.05</v>
      </c>
      <c r="G31" s="147" t="s">
        <v>8</v>
      </c>
      <c r="H31" s="340"/>
      <c r="I31" s="341"/>
      <c r="J31" s="78"/>
      <c r="K31" s="78"/>
      <c r="L31" s="78"/>
      <c r="M31" s="78"/>
      <c r="N31" s="78"/>
      <c r="O31" s="78"/>
      <c r="P31" s="78"/>
      <c r="Q31" s="78"/>
      <c r="R31" s="78"/>
      <c r="S31" s="78"/>
      <c r="T31" s="78"/>
      <c r="U31" s="78"/>
      <c r="V31" s="78"/>
      <c r="W31" s="78"/>
      <c r="X31" s="78"/>
      <c r="Y31" s="78"/>
      <c r="Z31" s="78"/>
      <c r="AA31" s="78"/>
      <c r="AB31" s="78"/>
      <c r="AC31" s="78"/>
      <c r="AD31" s="78"/>
      <c r="AE31" s="78"/>
      <c r="AF31" s="78"/>
      <c r="AG31" s="78"/>
      <c r="AH31" s="78"/>
      <c r="AI31" s="78"/>
      <c r="AJ31" s="78"/>
      <c r="AK31" s="78"/>
      <c r="AL31" s="78"/>
      <c r="AM31" s="78"/>
      <c r="AN31" s="78"/>
      <c r="AO31" s="91"/>
    </row>
    <row r="32" spans="1:42" ht="15" customHeight="1" x14ac:dyDescent="0.25">
      <c r="A32" s="17"/>
      <c r="B32" s="126" t="s">
        <v>690</v>
      </c>
      <c r="C32" s="119"/>
      <c r="D32" s="73"/>
      <c r="E32" s="74" t="s">
        <v>262</v>
      </c>
      <c r="F32" s="166" t="s">
        <v>417</v>
      </c>
      <c r="G32" s="148"/>
      <c r="H32" s="263"/>
      <c r="I32" s="26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106"/>
      <c r="AP32" s="25" t="s">
        <v>417</v>
      </c>
    </row>
    <row r="33" spans="1:42" ht="15" customHeight="1" x14ac:dyDescent="0.25">
      <c r="A33" s="17"/>
      <c r="B33" s="79"/>
      <c r="C33" s="17"/>
      <c r="D33" s="17"/>
      <c r="E33" s="56" t="s">
        <v>264</v>
      </c>
      <c r="F33" s="51">
        <f>Equations!F9</f>
        <v>0.46336633663366333</v>
      </c>
      <c r="G33" s="145" t="s">
        <v>85</v>
      </c>
      <c r="H33" s="161"/>
      <c r="I33" s="161"/>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87"/>
      <c r="AP33" s="25" t="s">
        <v>418</v>
      </c>
    </row>
    <row r="34" spans="1:42" ht="15" customHeight="1" x14ac:dyDescent="0.25">
      <c r="A34" s="17"/>
      <c r="B34" s="76"/>
      <c r="C34" s="17"/>
      <c r="D34" s="17"/>
      <c r="E34" s="56" t="s">
        <v>194</v>
      </c>
      <c r="F34" s="167" t="s">
        <v>190</v>
      </c>
      <c r="G34" s="145"/>
      <c r="H34" s="161"/>
      <c r="I34" s="161"/>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87"/>
      <c r="AP34" s="25" t="s">
        <v>191</v>
      </c>
    </row>
    <row r="35" spans="1:42" ht="15" customHeight="1" x14ac:dyDescent="0.25">
      <c r="A35" s="17"/>
      <c r="B35" s="76"/>
      <c r="C35" s="17"/>
      <c r="D35" s="17"/>
      <c r="E35" s="56" t="s">
        <v>109</v>
      </c>
      <c r="F35" s="168">
        <v>0.1</v>
      </c>
      <c r="G35" s="145" t="s">
        <v>85</v>
      </c>
      <c r="H35" s="161"/>
      <c r="I35" s="161"/>
      <c r="J35" s="10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87"/>
      <c r="AP35" s="25" t="s">
        <v>190</v>
      </c>
    </row>
    <row r="36" spans="1:42" ht="15" customHeight="1" x14ac:dyDescent="0.25">
      <c r="A36" s="17"/>
      <c r="B36" s="76"/>
      <c r="C36" s="17"/>
      <c r="D36" s="17"/>
      <c r="E36" s="56" t="s">
        <v>197</v>
      </c>
      <c r="F36" s="84" t="str">
        <f>Equations!F10</f>
        <v>NA</v>
      </c>
      <c r="G36" s="149" t="s">
        <v>87</v>
      </c>
      <c r="H36" s="261"/>
      <c r="I36" s="159"/>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87"/>
    </row>
    <row r="37" spans="1:42" ht="15" customHeight="1" x14ac:dyDescent="0.25">
      <c r="A37" s="17"/>
      <c r="B37" s="76"/>
      <c r="C37" s="17"/>
      <c r="D37" s="17"/>
      <c r="E37" s="56" t="s">
        <v>198</v>
      </c>
      <c r="F37" s="83" t="str">
        <f>Equations!F11</f>
        <v>NA</v>
      </c>
      <c r="G37" s="149" t="s">
        <v>87</v>
      </c>
      <c r="H37" s="261"/>
      <c r="I37" s="159"/>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87"/>
    </row>
    <row r="38" spans="1:42" ht="15" customHeight="1" x14ac:dyDescent="0.25">
      <c r="A38" s="17"/>
      <c r="B38" s="76"/>
      <c r="C38" s="17"/>
      <c r="D38" s="17"/>
      <c r="E38" s="56" t="s">
        <v>199</v>
      </c>
      <c r="F38" s="167">
        <v>10</v>
      </c>
      <c r="G38" s="149" t="s">
        <v>87</v>
      </c>
      <c r="H38" s="261"/>
      <c r="I38" s="159"/>
      <c r="J38" s="17"/>
      <c r="K38" s="17"/>
      <c r="L38" s="10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87"/>
      <c r="AP38" t="b">
        <f>AND(F34="No")</f>
        <v>1</v>
      </c>
    </row>
    <row r="39" spans="1:42" ht="15" customHeight="1" x14ac:dyDescent="0.25">
      <c r="A39" s="17"/>
      <c r="B39" s="222"/>
      <c r="C39" s="17"/>
      <c r="D39" s="17"/>
      <c r="E39" s="56" t="s">
        <v>200</v>
      </c>
      <c r="F39" s="167">
        <v>2.8</v>
      </c>
      <c r="G39" s="149" t="s">
        <v>87</v>
      </c>
      <c r="H39" s="261"/>
      <c r="I39" s="159"/>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87"/>
    </row>
    <row r="40" spans="1:42" ht="15" customHeight="1" x14ac:dyDescent="0.25">
      <c r="A40" s="17"/>
      <c r="B40" s="222"/>
      <c r="C40" s="17"/>
      <c r="D40" s="17"/>
      <c r="E40" s="56" t="s">
        <v>263</v>
      </c>
      <c r="F40" s="83">
        <f>RsEFF</f>
        <v>0.1</v>
      </c>
      <c r="G40" s="145" t="s">
        <v>85</v>
      </c>
      <c r="H40" s="262"/>
      <c r="I40" s="161"/>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87"/>
    </row>
    <row r="41" spans="1:42" ht="15" customHeight="1" x14ac:dyDescent="0.25">
      <c r="A41" s="17"/>
      <c r="B41" s="222"/>
      <c r="C41" s="17"/>
      <c r="D41" s="100"/>
      <c r="E41" s="101" t="s">
        <v>99</v>
      </c>
      <c r="F41" s="54">
        <f>CLMIN</f>
        <v>233.99999999999997</v>
      </c>
      <c r="G41" s="145" t="s">
        <v>25</v>
      </c>
      <c r="H41" s="161"/>
      <c r="I41" s="161"/>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87"/>
    </row>
    <row r="42" spans="1:42" ht="15" customHeight="1" x14ac:dyDescent="0.25">
      <c r="A42" s="17"/>
      <c r="B42" s="76"/>
      <c r="C42" s="17"/>
      <c r="D42" s="102"/>
      <c r="E42" s="103" t="s">
        <v>100</v>
      </c>
      <c r="F42" s="54">
        <f>CLNOM</f>
        <v>260</v>
      </c>
      <c r="G42" s="145" t="s">
        <v>25</v>
      </c>
      <c r="H42" s="161"/>
      <c r="I42" s="161"/>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87"/>
    </row>
    <row r="43" spans="1:42" ht="15" customHeight="1" x14ac:dyDescent="0.25">
      <c r="A43" s="17"/>
      <c r="B43" s="76"/>
      <c r="C43" s="17"/>
      <c r="D43" s="124"/>
      <c r="E43" s="125" t="s">
        <v>101</v>
      </c>
      <c r="F43" s="54">
        <f>CLMAX</f>
        <v>286</v>
      </c>
      <c r="G43" s="145" t="s">
        <v>25</v>
      </c>
      <c r="H43" s="161"/>
      <c r="I43" s="161"/>
      <c r="J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87"/>
      <c r="AP43" s="25" t="s">
        <v>243</v>
      </c>
    </row>
    <row r="44" spans="1:42" ht="15" customHeight="1" x14ac:dyDescent="0.25">
      <c r="A44" s="17"/>
      <c r="B44" s="76"/>
      <c r="C44" s="17"/>
      <c r="D44" s="17"/>
      <c r="E44" s="56" t="s">
        <v>113</v>
      </c>
      <c r="F44" s="38">
        <f>Equations!F16/1000</f>
        <v>8.1796000000000006</v>
      </c>
      <c r="G44" s="145" t="s">
        <v>87</v>
      </c>
      <c r="H44" s="161"/>
      <c r="I44" s="161"/>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87"/>
      <c r="AP44" s="25" t="s">
        <v>244</v>
      </c>
    </row>
    <row r="45" spans="1:42" ht="15" customHeight="1" x14ac:dyDescent="0.25">
      <c r="A45" s="17"/>
      <c r="B45" s="76"/>
      <c r="C45" s="17"/>
      <c r="D45" s="17"/>
      <c r="E45" s="56" t="s">
        <v>242</v>
      </c>
      <c r="F45" s="203" t="s">
        <v>698</v>
      </c>
      <c r="G45" s="145"/>
      <c r="H45" s="161"/>
      <c r="I45" s="161"/>
      <c r="J45" s="107"/>
      <c r="K45" s="17"/>
      <c r="L45" s="337" t="s">
        <v>646</v>
      </c>
      <c r="M45" s="337"/>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c r="AM45" s="337"/>
      <c r="AN45" s="337"/>
      <c r="AO45" s="87"/>
      <c r="AP45" s="25" t="s">
        <v>425</v>
      </c>
    </row>
    <row r="46" spans="1:42" ht="15" customHeight="1" x14ac:dyDescent="0.25">
      <c r="A46" s="17"/>
      <c r="B46" s="76"/>
      <c r="C46" s="17"/>
      <c r="D46" s="17"/>
      <c r="E46" s="97" t="s">
        <v>225</v>
      </c>
      <c r="F46" s="203" t="s">
        <v>425</v>
      </c>
      <c r="G46" s="145"/>
      <c r="H46" s="161"/>
      <c r="I46" s="161"/>
      <c r="J46" s="17"/>
      <c r="K46" s="17"/>
      <c r="L46" s="337"/>
      <c r="M46" s="337"/>
      <c r="N46" s="337"/>
      <c r="O46" s="337"/>
      <c r="P46" s="337"/>
      <c r="Q46" s="337"/>
      <c r="R46" s="337"/>
      <c r="S46" s="337"/>
      <c r="T46" s="337"/>
      <c r="U46" s="337"/>
      <c r="V46" s="337"/>
      <c r="W46" s="337"/>
      <c r="X46" s="337"/>
      <c r="Y46" s="337"/>
      <c r="Z46" s="337"/>
      <c r="AA46" s="337"/>
      <c r="AB46" s="337"/>
      <c r="AC46" s="337"/>
      <c r="AD46" s="337"/>
      <c r="AE46" s="337"/>
      <c r="AF46" s="337"/>
      <c r="AG46" s="337"/>
      <c r="AH46" s="337"/>
      <c r="AI46" s="337"/>
      <c r="AJ46" s="337"/>
      <c r="AK46" s="337"/>
      <c r="AL46" s="337"/>
      <c r="AM46" s="337"/>
      <c r="AN46" s="337"/>
      <c r="AO46" s="87"/>
      <c r="AP46" s="25" t="s">
        <v>426</v>
      </c>
    </row>
    <row r="47" spans="1:42" ht="15" customHeight="1" x14ac:dyDescent="0.25">
      <c r="A47" s="17"/>
      <c r="B47" s="76"/>
      <c r="C47" s="17"/>
      <c r="D47" s="17"/>
      <c r="E47" s="56"/>
      <c r="F47" s="226"/>
      <c r="G47" s="153"/>
      <c r="H47" s="161"/>
      <c r="I47" s="161"/>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87"/>
      <c r="AP47" s="25"/>
    </row>
    <row r="48" spans="1:42" ht="15" customHeight="1" x14ac:dyDescent="0.25">
      <c r="A48" s="17"/>
      <c r="B48" s="76"/>
      <c r="C48" s="17"/>
      <c r="D48" s="17"/>
      <c r="E48" s="97" t="s">
        <v>436</v>
      </c>
      <c r="F48" s="140">
        <f>Equations!F31</f>
        <v>2800</v>
      </c>
      <c r="G48" s="145" t="s">
        <v>87</v>
      </c>
      <c r="H48" s="262"/>
      <c r="I48" s="161"/>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87"/>
      <c r="AP48" s="25"/>
    </row>
    <row r="49" spans="1:56" ht="15" customHeight="1" x14ac:dyDescent="0.25">
      <c r="A49" s="17"/>
      <c r="B49" s="76"/>
      <c r="C49" s="17"/>
      <c r="D49" s="17"/>
      <c r="E49" s="56" t="s">
        <v>281</v>
      </c>
      <c r="F49" s="313">
        <v>3000</v>
      </c>
      <c r="G49" s="145" t="s">
        <v>87</v>
      </c>
      <c r="H49" s="161"/>
      <c r="I49" s="161"/>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87"/>
      <c r="AP49" s="25"/>
    </row>
    <row r="50" spans="1:56" ht="15" customHeight="1" x14ac:dyDescent="0.25">
      <c r="A50" s="17"/>
      <c r="B50" s="76"/>
      <c r="C50" s="17"/>
      <c r="D50" s="17"/>
      <c r="E50" s="56" t="s">
        <v>282</v>
      </c>
      <c r="F50" s="123">
        <f>Equations!F33</f>
        <v>36.714285714285715</v>
      </c>
      <c r="G50" s="151" t="s">
        <v>84</v>
      </c>
      <c r="H50" s="160"/>
      <c r="I50" s="160"/>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87"/>
      <c r="AP50" s="25"/>
    </row>
    <row r="51" spans="1:56" ht="15" customHeight="1" x14ac:dyDescent="0.25">
      <c r="A51" s="17"/>
      <c r="B51" s="76"/>
      <c r="C51" s="17"/>
      <c r="D51" s="17"/>
      <c r="E51" s="56" t="s">
        <v>285</v>
      </c>
      <c r="F51" s="168">
        <v>47</v>
      </c>
      <c r="G51" s="151" t="s">
        <v>84</v>
      </c>
      <c r="H51" s="160"/>
      <c r="I51" s="160"/>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87"/>
      <c r="AP51" s="25"/>
    </row>
    <row r="52" spans="1:56" ht="15" customHeight="1" thickBot="1" x14ac:dyDescent="0.3">
      <c r="A52" s="17"/>
      <c r="B52" s="76"/>
      <c r="C52" s="17"/>
      <c r="D52" s="17"/>
      <c r="E52" s="56" t="s">
        <v>288</v>
      </c>
      <c r="F52" s="228">
        <f>Equations!F35</f>
        <v>3719.9999999999995</v>
      </c>
      <c r="G52" s="145" t="s">
        <v>87</v>
      </c>
      <c r="H52" s="161"/>
      <c r="I52" s="161"/>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87"/>
      <c r="AP52" s="25"/>
    </row>
    <row r="53" spans="1:56" ht="15" customHeight="1" x14ac:dyDescent="0.25">
      <c r="A53" s="17"/>
      <c r="B53" s="126" t="s">
        <v>691</v>
      </c>
      <c r="C53" s="73"/>
      <c r="D53" s="73"/>
      <c r="E53" s="80" t="s">
        <v>471</v>
      </c>
      <c r="F53" s="239" t="s">
        <v>484</v>
      </c>
      <c r="G53" s="239" t="s">
        <v>484</v>
      </c>
      <c r="H53" s="227" t="s">
        <v>692</v>
      </c>
      <c r="I53" s="150"/>
      <c r="J53" s="73"/>
      <c r="K53" s="73"/>
      <c r="L53" s="73"/>
      <c r="M53" s="73"/>
      <c r="N53" s="73"/>
      <c r="O53" s="73"/>
      <c r="P53" s="73"/>
      <c r="Q53" s="73"/>
      <c r="R53" s="73"/>
      <c r="S53" s="73"/>
      <c r="T53" s="73"/>
      <c r="U53" s="73"/>
      <c r="V53" s="73"/>
      <c r="W53" s="73"/>
      <c r="X53" s="73"/>
      <c r="Y53" s="73"/>
      <c r="Z53" s="73"/>
      <c r="AA53" s="73"/>
      <c r="AB53" s="73"/>
      <c r="AC53" s="73"/>
      <c r="AD53" s="73"/>
      <c r="AE53" s="73"/>
      <c r="AF53" s="73"/>
      <c r="AG53" s="73"/>
      <c r="AH53" s="73"/>
      <c r="AI53" s="73"/>
      <c r="AJ53" s="73"/>
      <c r="AK53" s="73"/>
      <c r="AL53" s="73"/>
      <c r="AM53" s="73"/>
      <c r="AN53" s="73"/>
      <c r="AO53" s="106"/>
      <c r="AS53" s="25" t="s">
        <v>621</v>
      </c>
      <c r="AT53" s="25" t="s">
        <v>622</v>
      </c>
      <c r="AU53" s="25" t="s">
        <v>619</v>
      </c>
      <c r="AV53" s="25" t="s">
        <v>620</v>
      </c>
      <c r="AW53" s="25" t="s">
        <v>349</v>
      </c>
      <c r="AZ53" s="25" t="s">
        <v>623</v>
      </c>
      <c r="BA53" s="25" t="s">
        <v>624</v>
      </c>
      <c r="BB53" s="25" t="s">
        <v>619</v>
      </c>
      <c r="BC53" s="25" t="s">
        <v>620</v>
      </c>
      <c r="BD53" s="25" t="s">
        <v>349</v>
      </c>
    </row>
    <row r="54" spans="1:56" ht="15" customHeight="1" x14ac:dyDescent="0.25">
      <c r="A54" s="17"/>
      <c r="B54" s="344" t="s">
        <v>687</v>
      </c>
      <c r="C54" s="17"/>
      <c r="D54" s="17"/>
      <c r="E54" s="29" t="s">
        <v>485</v>
      </c>
      <c r="F54" s="248" t="s">
        <v>700</v>
      </c>
      <c r="G54" s="248" t="s">
        <v>697</v>
      </c>
      <c r="H54" s="311" t="s">
        <v>494</v>
      </c>
      <c r="I54" s="146"/>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87"/>
      <c r="AS54" t="str">
        <f>'MOSFET Database 24V'!F4</f>
        <v>CSD18536KTT</v>
      </c>
      <c r="AT54" t="str">
        <f t="shared" ref="AT54:AT71" si="0">AS54&amp;" , "&amp;ROUND(AW54,2)&amp;" , $"&amp;AU54</f>
        <v>CSD18536KTT , 2.03 , $1.894</v>
      </c>
      <c r="AU54" s="244">
        <f>'MOSFET Database 24V'!G35</f>
        <v>1.8939999999999999</v>
      </c>
      <c r="AV54" s="3">
        <f>'MOSFET Database 24V'!G33</f>
        <v>0.20480000000000001</v>
      </c>
      <c r="AW54" s="3">
        <f>'MOSFET Database 24V'!G61</f>
        <v>2.0300377475721949</v>
      </c>
      <c r="AZ54" t="str">
        <f>'MOSFET Database 48V'!B4</f>
        <v>CSD19536KTT</v>
      </c>
      <c r="BA54" t="str">
        <f t="shared" ref="BA54:BA63" si="1">AZ54&amp;" , "&amp;ROUND(BD54,2)&amp;" , $"&amp;BB54</f>
        <v>CSD19536KTT , 2.01 , $1.972</v>
      </c>
      <c r="BB54" s="244">
        <f>'MOSFET Database 48V'!C35</f>
        <v>1.972</v>
      </c>
      <c r="BC54" s="3">
        <f>'MOSFET Database 48V'!C33</f>
        <v>0.21833333333333332</v>
      </c>
      <c r="BD54" s="3">
        <f>'MOSFET Database 48V'!C61</f>
        <v>2.005198129196839</v>
      </c>
    </row>
    <row r="55" spans="1:56" ht="15" customHeight="1" x14ac:dyDescent="0.25">
      <c r="A55" s="17"/>
      <c r="B55" s="344"/>
      <c r="C55" s="17"/>
      <c r="D55" s="17"/>
      <c r="E55" s="56" t="s">
        <v>266</v>
      </c>
      <c r="F55" s="250">
        <f ca="1">IF(VINMAX&lt;=40,'MOSFET Database 24V'!C80,'MOSFET Database 48V'!C80)</f>
        <v>3.1440000000000001</v>
      </c>
      <c r="G55" s="250">
        <f ca="1">IF(VINMAX&lt;=40,'MOSFET Database 24V'!G80,'MOSFET Database 48V'!G80)</f>
        <v>4.7939999999999996</v>
      </c>
      <c r="H55" s="251">
        <v>2</v>
      </c>
      <c r="I55" s="145"/>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87"/>
      <c r="AP55">
        <f ca="1">((((TJMAX-TAMB)/ThetaJA)/(CLMAX^2))*1000)*NUMFETS1^2</f>
        <v>0.22005966061910118</v>
      </c>
      <c r="AQ55">
        <f>((TJMAX-TAMB)/ThetaJA)</f>
        <v>0.5</v>
      </c>
      <c r="AS55" t="str">
        <f>'MOSFET Database 24V'!R4</f>
        <v>CSD19506KTT</v>
      </c>
      <c r="AT55" t="str">
        <f t="shared" si="0"/>
        <v>CSD19506KTT , 2.47 , $1.878</v>
      </c>
      <c r="AU55" s="244">
        <f>'MOSFET Database 24V'!S35</f>
        <v>1.8779999999999999</v>
      </c>
      <c r="AV55" s="3">
        <f>'MOSFET Database 24V'!S33</f>
        <v>0.21083333333333332</v>
      </c>
      <c r="AW55" s="3">
        <f>'MOSFET Database 24V'!S61</f>
        <v>2.4677859994301898</v>
      </c>
      <c r="AZ55" t="str">
        <f>'MOSFET Database 48V'!F4</f>
        <v>CSD19535KTT</v>
      </c>
      <c r="BA55" t="str">
        <f t="shared" si="1"/>
        <v>CSD19535KTT , 0.96 , $1.313</v>
      </c>
      <c r="BB55" s="244">
        <f>'MOSFET Database 48V'!G35</f>
        <v>1.3129999999999999</v>
      </c>
      <c r="BC55" s="3">
        <f>'MOSFET Database 48V'!G33</f>
        <v>0.24459183673469387</v>
      </c>
      <c r="BD55" s="3">
        <f>'MOSFET Database 48V'!G61</f>
        <v>0.96247697981305036</v>
      </c>
    </row>
    <row r="56" spans="1:56" ht="15" customHeight="1" x14ac:dyDescent="0.25">
      <c r="A56" s="17"/>
      <c r="B56" s="344"/>
      <c r="C56" s="17"/>
      <c r="D56" s="17"/>
      <c r="E56" s="56" t="s">
        <v>126</v>
      </c>
      <c r="F56" s="248">
        <f ca="1">IF(VINMAX&lt;=40,'MOSFET Database 24V'!C79,'MOSFET Database 48V'!C79)</f>
        <v>175</v>
      </c>
      <c r="G56" s="248">
        <f ca="1">IF(VINMAX&lt;=40,'MOSFET Database 24V'!G79,'MOSFET Database 48V'!G79)</f>
        <v>175</v>
      </c>
      <c r="H56" s="229">
        <v>175</v>
      </c>
      <c r="I56" s="145" t="s">
        <v>85</v>
      </c>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87"/>
      <c r="AP56" s="21" t="s">
        <v>260</v>
      </c>
      <c r="AS56" t="str">
        <f>'MOSFET Database 24V'!J4</f>
        <v>CSD18535KTT</v>
      </c>
      <c r="AT56" t="str">
        <f t="shared" si="0"/>
        <v>CSD18535KTT , 1.93 , $1.266</v>
      </c>
      <c r="AU56" s="244">
        <f>'MOSFET Database 24V'!K35</f>
        <v>1.266</v>
      </c>
      <c r="AV56" s="3">
        <f>'MOSFET Database 24V'!K33</f>
        <v>0.25800000000000001</v>
      </c>
      <c r="AW56" s="3">
        <f>'MOSFET Database 24V'!K61</f>
        <v>1.9267101469495</v>
      </c>
      <c r="AZ56" t="str">
        <f>'MOSFET Database 48V'!N4</f>
        <v>CSD19532KTT</v>
      </c>
      <c r="BA56" t="str">
        <f t="shared" si="1"/>
        <v>CSD19532KTT , 0.75 , $0.914</v>
      </c>
      <c r="BB56" s="244">
        <f>'MOSFET Database 48V'!O35</f>
        <v>0.91400000000000003</v>
      </c>
      <c r="BC56" s="3">
        <f>'MOSFET Database 48V'!O33</f>
        <v>0.24543209876543209</v>
      </c>
      <c r="BD56" s="3">
        <f>'MOSFET Database 48V'!O61</f>
        <v>0.7477053298369134</v>
      </c>
    </row>
    <row r="57" spans="1:56" ht="15" customHeight="1" x14ac:dyDescent="0.25">
      <c r="A57" s="17"/>
      <c r="B57" s="344"/>
      <c r="C57" s="17"/>
      <c r="D57" s="17"/>
      <c r="E57" s="56" t="s">
        <v>486</v>
      </c>
      <c r="F57" s="249">
        <f ca="1">IF(VINMAX&lt;=40,'MOSFET Database 24V'!C70,'MOSFET Database 48V'!C70)</f>
        <v>400</v>
      </c>
      <c r="G57" s="249">
        <f ca="1">IF(VINMAX&lt;=40,'MOSFET Database 24V'!G70,'MOSFET Database 48V'!G70)</f>
        <v>400</v>
      </c>
      <c r="H57" s="238">
        <v>400</v>
      </c>
      <c r="I57" s="235" t="s">
        <v>125</v>
      </c>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87"/>
      <c r="AP57" s="25">
        <f>H57</f>
        <v>400</v>
      </c>
      <c r="AS57" t="str">
        <f>'MOSFET Database 24V'!V4</f>
        <v>CSD19505KTT</v>
      </c>
      <c r="AT57" t="str">
        <f t="shared" si="0"/>
        <v>CSD19505KTT , 1.66 , $1.313</v>
      </c>
      <c r="AU57" s="244">
        <f>'MOSFET Database 24V'!W35</f>
        <v>1.3129999999999999</v>
      </c>
      <c r="AV57" s="3">
        <f>'MOSFET Database 24V'!W33</f>
        <v>0.28416666666666668</v>
      </c>
      <c r="AW57" s="3">
        <f>'MOSFET Database 24V'!W61</f>
        <v>1.656075481400836</v>
      </c>
      <c r="AZ57" t="str">
        <f>'MOSFET Database 48V'!R4</f>
        <v>CSD19531Q5A</v>
      </c>
      <c r="BA57" t="str">
        <f t="shared" si="1"/>
        <v>CSD19531Q5A , 0.17 , $0.611</v>
      </c>
      <c r="BB57" s="244">
        <f>'MOSFET Database 48V'!S35</f>
        <v>0.61099999999999999</v>
      </c>
      <c r="BC57" s="3">
        <f>'MOSFET Database 48V'!S33</f>
        <v>0.27456790123456792</v>
      </c>
      <c r="BD57" s="3">
        <f>'MOSFET Database 48V'!S61</f>
        <v>0.17433611225286133</v>
      </c>
    </row>
    <row r="58" spans="1:56" ht="15" customHeight="1" x14ac:dyDescent="0.25">
      <c r="A58" s="17"/>
      <c r="B58" s="182"/>
      <c r="C58" s="17"/>
      <c r="D58" s="17"/>
      <c r="E58" s="56" t="s">
        <v>487</v>
      </c>
      <c r="F58" s="249">
        <f ca="1">IF(VINMAX&lt;=40,'MOSFET Database 24V'!C71,'MOSFET Database 48V'!C71)</f>
        <v>102.96332787594578</v>
      </c>
      <c r="G58" s="249">
        <f ca="1">IF(VINMAX&lt;=40,'MOSFET Database 24V'!G71,'MOSFET Database 48V'!G71)</f>
        <v>37.376167055797616</v>
      </c>
      <c r="H58" s="238">
        <v>100</v>
      </c>
      <c r="I58" s="145" t="s">
        <v>25</v>
      </c>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87"/>
      <c r="AP58" s="25">
        <f t="shared" ref="AP58:AP63" si="2">H58</f>
        <v>100</v>
      </c>
      <c r="AS58" t="str">
        <f>'MOSFET Database 24V'!AP4</f>
        <v>CSD18532KCS</v>
      </c>
      <c r="AT58" t="str">
        <f t="shared" si="0"/>
        <v>CSD18532KCS , 0.51 , $0.818</v>
      </c>
      <c r="AU58" s="244">
        <f>'MOSFET Database 24V'!AQ35</f>
        <v>0.81799999999999995</v>
      </c>
      <c r="AV58" s="3">
        <f>'MOSFET Database 24V'!AQ33</f>
        <v>0.28714285714285714</v>
      </c>
      <c r="AW58" s="3">
        <f>'MOSFET Database 24V'!AQ61</f>
        <v>0.51304540435751944</v>
      </c>
      <c r="AZ58" t="str">
        <f>'MOSFET Database 48V'!J4</f>
        <v>CSD19532Q5B</v>
      </c>
      <c r="BA58" t="str">
        <f t="shared" si="1"/>
        <v>CSD19532Q5B , 0.13 , $0.896</v>
      </c>
      <c r="BB58" s="244">
        <f>'MOSFET Database 48V'!K35</f>
        <v>0.89600000000000002</v>
      </c>
      <c r="BC58" s="3">
        <f>'MOSFET Database 48V'!K33</f>
        <v>0.26988281250000001</v>
      </c>
      <c r="BD58" s="3">
        <f>'MOSFET Database 48V'!K61</f>
        <v>0.12845555620254201</v>
      </c>
    </row>
    <row r="59" spans="1:56" ht="15" customHeight="1" x14ac:dyDescent="0.25">
      <c r="A59" s="17"/>
      <c r="B59" s="214"/>
      <c r="C59" s="17"/>
      <c r="D59" s="17"/>
      <c r="E59" s="56" t="s">
        <v>375</v>
      </c>
      <c r="F59" s="249">
        <f ca="1">IF(VINMAX&lt;=40,'MOSFET Database 24V'!C72,'MOSFET Database 48V'!C72)</f>
        <v>9.3925961370914308</v>
      </c>
      <c r="G59" s="249">
        <f ca="1">IF(VINMAX&lt;=40,'MOSFET Database 24V'!G72,'MOSFET Database 48V'!G72)</f>
        <v>4.9912624244628025</v>
      </c>
      <c r="H59" s="238">
        <v>20</v>
      </c>
      <c r="I59" s="145" t="s">
        <v>25</v>
      </c>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87"/>
      <c r="AP59" s="25">
        <f t="shared" si="2"/>
        <v>20</v>
      </c>
      <c r="AS59" t="str">
        <f>'MOSFET Database 24V'!AH4</f>
        <v>CSD18542KTT</v>
      </c>
      <c r="AT59" t="str">
        <f t="shared" si="0"/>
        <v>CSD18542KTT , 0.82 , $0.861</v>
      </c>
      <c r="AU59" s="244">
        <f>'MOSFET Database 24V'!AI35</f>
        <v>0.86099999999999999</v>
      </c>
      <c r="AV59" s="3">
        <f>'MOSFET Database 24V'!AI33</f>
        <v>0.27142857142857141</v>
      </c>
      <c r="AW59" s="3">
        <f>'MOSFET Database 24V'!AI61</f>
        <v>0.81974137284257331</v>
      </c>
      <c r="AZ59" t="str">
        <f>'MOSFET Database 48V'!V4</f>
        <v>CSD19533Q5A</v>
      </c>
      <c r="BA59" t="str">
        <f t="shared" si="1"/>
        <v>CSD19533Q5A , 0.16 , $0.48</v>
      </c>
      <c r="BB59" s="244">
        <f>'MOSFET Database 48V'!W35</f>
        <v>0.48</v>
      </c>
      <c r="BC59" s="3">
        <f>'MOSFET Database 48V'!W33</f>
        <v>0.27578512396694216</v>
      </c>
      <c r="BD59" s="3">
        <f>'MOSFET Database 48V'!W61</f>
        <v>0.15519013505361742</v>
      </c>
    </row>
    <row r="60" spans="1:56" ht="15" customHeight="1" x14ac:dyDescent="0.25">
      <c r="A60" s="17"/>
      <c r="B60" s="214"/>
      <c r="C60" s="17"/>
      <c r="D60" s="17"/>
      <c r="E60" s="56" t="s">
        <v>488</v>
      </c>
      <c r="F60" s="249">
        <f ca="1">IF(VINMAX&lt;=40,'MOSFET Database 24V'!C73,'MOSFET Database 48V'!C73)</f>
        <v>2.9226229456700832</v>
      </c>
      <c r="G60" s="249">
        <f ca="1">IF(VINMAX&lt;=40,'MOSFET Database 24V'!G73,'MOSFET Database 48V'!G73)</f>
        <v>1.4889765059976743</v>
      </c>
      <c r="H60" s="238">
        <v>5</v>
      </c>
      <c r="I60" s="145" t="s">
        <v>25</v>
      </c>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87"/>
      <c r="AP60" s="25">
        <f t="shared" si="2"/>
        <v>5</v>
      </c>
      <c r="AS60" t="str">
        <f>'MOSFET Database 24V'!N4</f>
        <v>CSD18540Q5B</v>
      </c>
      <c r="AT60" t="str">
        <f t="shared" si="0"/>
        <v>CSD18540Q5B , 0.56 , $0.867</v>
      </c>
      <c r="AU60" s="244">
        <f>'MOSFET Database 24V'!O35</f>
        <v>0.86699999999999999</v>
      </c>
      <c r="AV60" s="3">
        <f>'MOSFET Database 24V'!O33</f>
        <v>0.28380000000000005</v>
      </c>
      <c r="AW60" s="3">
        <f>'MOSFET Database 24V'!O61</f>
        <v>0.55518276936110078</v>
      </c>
      <c r="AZ60" t="str">
        <f>'MOSFET Database 48V'!Z4</f>
        <v>CSD19537Q3</v>
      </c>
      <c r="BA60" t="str">
        <f t="shared" si="1"/>
        <v>CSD19537Q3 , 0.23 , $0.401</v>
      </c>
      <c r="BB60" s="244">
        <f>'MOSFET Database 48V'!AA35</f>
        <v>0.40100000000000002</v>
      </c>
      <c r="BC60" s="3">
        <f>'MOSFET Database 48V'!AA33</f>
        <v>0.2644770408163265</v>
      </c>
      <c r="BD60" s="3">
        <f>'MOSFET Database 48V'!AA61</f>
        <v>0.23133964256444023</v>
      </c>
    </row>
    <row r="61" spans="1:56" ht="15" customHeight="1" x14ac:dyDescent="0.25">
      <c r="A61" s="17"/>
      <c r="B61" s="215"/>
      <c r="C61" s="17"/>
      <c r="D61" s="17"/>
      <c r="E61" s="56" t="s">
        <v>489</v>
      </c>
      <c r="F61" s="249">
        <f ca="1">IF(VINMAX&lt;=40,'MOSFET Database 24V'!C74,'MOSFET Database 48V'!C74)</f>
        <v>1.4911781555733927</v>
      </c>
      <c r="G61" s="249">
        <f ca="1">IF(VINMAX&lt;=40,'MOSFET Database 24V'!G74,'MOSFET Database 48V'!G74)</f>
        <v>0.87369384035738873</v>
      </c>
      <c r="H61" s="238">
        <v>1</v>
      </c>
      <c r="I61" s="145" t="s">
        <v>25</v>
      </c>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87"/>
      <c r="AP61" s="25">
        <f t="shared" si="2"/>
        <v>1</v>
      </c>
      <c r="AS61" t="str">
        <f>'MOSFET Database 24V'!Z4</f>
        <v>CSD18532Q5B</v>
      </c>
      <c r="AT61" t="str">
        <f t="shared" si="0"/>
        <v>CSD18532Q5B , 0.13 , $0.845</v>
      </c>
      <c r="AU61" s="244">
        <f>'MOSFET Database 24V'!AA35</f>
        <v>0.84499999999999997</v>
      </c>
      <c r="AV61" s="3">
        <f>'MOSFET Database 24V'!AA33</f>
        <v>0.23020408163265307</v>
      </c>
      <c r="AW61" s="3">
        <f>'MOSFET Database 24V'!AA61</f>
        <v>0.12837476282732688</v>
      </c>
      <c r="AZ61" t="str">
        <f>'MOSFET Database 48V'!AD4</f>
        <v>CSD19534Q5A</v>
      </c>
      <c r="BA61" t="str">
        <f t="shared" si="1"/>
        <v>CSD19534Q5A , 0.09 , $0.335</v>
      </c>
      <c r="BB61" s="244">
        <f>'MOSFET Database 48V'!AE35</f>
        <v>0.33500000000000002</v>
      </c>
      <c r="BC61" s="3">
        <f>'MOSFET Database 48V'!AE33</f>
        <v>0.26579081632653057</v>
      </c>
      <c r="BD61" s="3">
        <f>'MOSFET Database 48V'!AE61</f>
        <v>8.9612509650484701E-2</v>
      </c>
    </row>
    <row r="62" spans="1:56" ht="15" customHeight="1" x14ac:dyDescent="0.25">
      <c r="A62" s="17"/>
      <c r="B62" s="223"/>
      <c r="C62" s="17"/>
      <c r="D62" s="17"/>
      <c r="E62" s="56"/>
      <c r="F62" s="98"/>
      <c r="G62" s="98"/>
      <c r="H62" s="237"/>
      <c r="I62" s="153" t="s">
        <v>25</v>
      </c>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87"/>
      <c r="AP62" s="25">
        <f t="shared" si="2"/>
        <v>0</v>
      </c>
      <c r="AS62" t="str">
        <f>'MOSFET Database 24V'!AL4</f>
        <v>CSD19502Q5B</v>
      </c>
      <c r="AT62" t="str">
        <f t="shared" si="0"/>
        <v>CSD19502Q5B , 0.13 , $0.896</v>
      </c>
      <c r="AU62" s="244">
        <f>'MOSFET Database 24V'!AM35</f>
        <v>0.89600000000000002</v>
      </c>
      <c r="AV62" s="3">
        <f>'MOSFET Database 24V'!AM33</f>
        <v>0.28239795918367344</v>
      </c>
      <c r="AW62" s="3">
        <f>'MOSFET Database 24V'!AM61</f>
        <v>0.1262536629233105</v>
      </c>
      <c r="AZ62" t="str">
        <f>'MOSFET Database 48V'!AL4</f>
        <v>CSD19538Q3A</v>
      </c>
      <c r="BA62" t="str">
        <f t="shared" si="1"/>
        <v>CSD19538Q3A , 0.07 , $0.162</v>
      </c>
      <c r="BB62" s="244">
        <f>'MOSFET Database 48V'!AM35</f>
        <v>0.16200000000000001</v>
      </c>
      <c r="BC62" s="3">
        <f>'MOSFET Database 48V'!AM33</f>
        <v>0.29456360946745563</v>
      </c>
      <c r="BD62" s="3">
        <f>'MOSFET Database 48V'!AM61</f>
        <v>6.7944721396881513E-2</v>
      </c>
    </row>
    <row r="63" spans="1:56" ht="15" customHeight="1" x14ac:dyDescent="0.25">
      <c r="A63" s="17"/>
      <c r="B63" s="214"/>
      <c r="C63" s="17"/>
      <c r="D63" s="17"/>
      <c r="E63" s="28"/>
      <c r="F63" s="98"/>
      <c r="G63" s="98"/>
      <c r="H63" s="28"/>
      <c r="I63" s="236"/>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87"/>
      <c r="AP63" s="25">
        <f t="shared" si="2"/>
        <v>0</v>
      </c>
      <c r="AS63" t="str">
        <f>'MOSFET Database 24V'!AD4</f>
        <v>CSD18532NQ5B</v>
      </c>
      <c r="AT63" t="str">
        <f t="shared" si="0"/>
        <v>CSD18532NQ5B , 0.46 , $0.845</v>
      </c>
      <c r="AU63" s="244">
        <f>'MOSFET Database 24V'!AE35</f>
        <v>0.84499999999999997</v>
      </c>
      <c r="AV63" s="3">
        <f>'MOSFET Database 24V'!AE33</f>
        <v>0.24112244897959179</v>
      </c>
      <c r="AW63" s="3">
        <f>'MOSFET Database 24V'!AE61</f>
        <v>0.4615115271145136</v>
      </c>
      <c r="AZ63" t="str">
        <f>'MOSFET Database 48V'!AH4</f>
        <v>CSD19538Q2</v>
      </c>
      <c r="BA63" t="str">
        <f t="shared" si="1"/>
        <v>CSD19538Q2 , 0.07 , $0.162</v>
      </c>
      <c r="BB63" s="244">
        <f>'MOSFET Database 48V'!AI35</f>
        <v>0.16200000000000001</v>
      </c>
      <c r="BC63" s="3">
        <f>'MOSFET Database 48V'!AI33</f>
        <v>0.2832647462277092</v>
      </c>
      <c r="BD63" s="3">
        <f>'MOSFET Database 48V'!AI61</f>
        <v>6.6014273420167441E-2</v>
      </c>
    </row>
    <row r="64" spans="1:56" ht="15" customHeight="1" x14ac:dyDescent="0.25">
      <c r="A64" s="17"/>
      <c r="B64" s="324" t="s">
        <v>464</v>
      </c>
      <c r="C64" s="17"/>
      <c r="D64" s="17"/>
      <c r="E64" s="230" t="s">
        <v>490</v>
      </c>
      <c r="F64" s="248">
        <f ca="1">IF(VINMAX&lt;=40,'MOSFET Database 24V'!C77,'MOSFET Database 48V'!C77)</f>
        <v>6</v>
      </c>
      <c r="G64" s="248">
        <f ca="1">IF(VINMAX&lt;=40,'MOSFET Database 24V'!G77,'MOSFET Database 48V'!G77)</f>
        <v>7</v>
      </c>
      <c r="H64" s="256">
        <f ca="1">'MOSFET Database 24V'!K77</f>
        <v>5</v>
      </c>
      <c r="I64" s="236"/>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87"/>
      <c r="AS64" t="str">
        <f>'MOSFET Database 24V'!AT4</f>
        <v>CSD18531Q5A</v>
      </c>
      <c r="AT64" t="str">
        <f t="shared" si="0"/>
        <v>CSD18531Q5A , 0.13 , $0.589</v>
      </c>
      <c r="AU64" s="244">
        <f>'MOSFET Database 24V'!AU35</f>
        <v>0.58899999999999997</v>
      </c>
      <c r="AV64" s="3">
        <f>'MOSFET Database 24V'!AU33</f>
        <v>0.24437500000000001</v>
      </c>
      <c r="AW64" s="3">
        <f>'MOSFET Database 24V'!AU61</f>
        <v>0.1328749120215951</v>
      </c>
    </row>
    <row r="65" spans="1:49" ht="15" customHeight="1" x14ac:dyDescent="0.25">
      <c r="A65" s="17"/>
      <c r="B65" s="324"/>
      <c r="C65" s="17"/>
      <c r="D65" s="17"/>
      <c r="E65" s="56" t="s">
        <v>325</v>
      </c>
      <c r="F65" s="249">
        <f ca="1">IF(VINMAX&lt;=40,'MOSFET Database 24V'!C76,'MOSFET Database 48V'!C76)</f>
        <v>0.21833333333333332</v>
      </c>
      <c r="G65" s="249">
        <f ca="1">IF(VINMAX&lt;=40,'MOSFET Database 24V'!G76,'MOSFET Database 48V'!G76)</f>
        <v>0.24459183673469387</v>
      </c>
      <c r="H65" s="255">
        <f ca="1">'MOSFET Database 24V'!K76</f>
        <v>0.2</v>
      </c>
      <c r="I65" s="145" t="s">
        <v>124</v>
      </c>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87"/>
      <c r="AS65" t="str">
        <f>'MOSFET Database 24V'!BF4</f>
        <v>CSD18563Q5A</v>
      </c>
      <c r="AT65" t="str">
        <f t="shared" si="0"/>
        <v>CSD18563Q5A , 0.13 , $0.477</v>
      </c>
      <c r="AU65" s="244">
        <f>'MOSFET Database 24V'!BG35</f>
        <v>0.47699999999999998</v>
      </c>
      <c r="AV65" s="3">
        <f>'MOSFET Database 24V'!BG33</f>
        <v>0.29172839506172837</v>
      </c>
      <c r="AW65" s="3">
        <f>'MOSFET Database 24V'!BG61</f>
        <v>0.13364945733594133</v>
      </c>
    </row>
    <row r="66" spans="1:49" ht="15" customHeight="1" x14ac:dyDescent="0.25">
      <c r="A66" s="17"/>
      <c r="B66" s="324"/>
      <c r="C66" s="17"/>
      <c r="D66" s="17"/>
      <c r="E66" s="56" t="s">
        <v>265</v>
      </c>
      <c r="F66" s="22">
        <f ca="1">IF(VINMAX&lt;=40,'MOSFET Database 24V'!C78,'MOSFET Database 48V'!C78)</f>
        <v>71.833333333333329</v>
      </c>
      <c r="G66" s="22">
        <f ca="1">IF(VINMAX&lt;=40,'MOSFET Database 24V'!G78,'MOSFET Database 48V'!G78)</f>
        <v>74.459183673469383</v>
      </c>
      <c r="H66" s="22">
        <f ca="1">'MOSFET Database 24V'!K78</f>
        <v>70</v>
      </c>
      <c r="I66" s="145" t="s">
        <v>87</v>
      </c>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87"/>
      <c r="AS66" t="str">
        <f>'MOSFET Database 24V'!BB4</f>
        <v>CSD19501KCS</v>
      </c>
      <c r="AT66" t="str">
        <f t="shared" si="0"/>
        <v>CSD19501KCS , 0.12 , $0.719</v>
      </c>
      <c r="AU66" s="244">
        <f>'MOSFET Database 24V'!BC35</f>
        <v>0.71899999999999997</v>
      </c>
      <c r="AV66" s="3">
        <f>'MOSFET Database 24V'!BC33</f>
        <v>0.2709259259259259</v>
      </c>
      <c r="AW66" s="3">
        <f>'MOSFET Database 24V'!BC61</f>
        <v>0.11870608563370896</v>
      </c>
    </row>
    <row r="67" spans="1:49" ht="15" customHeight="1" x14ac:dyDescent="0.25">
      <c r="A67" s="17"/>
      <c r="B67" s="324"/>
      <c r="C67" s="17"/>
      <c r="D67" s="17"/>
      <c r="E67" s="56" t="s">
        <v>404</v>
      </c>
      <c r="F67" s="22">
        <f ca="1">IF(VINMAX&lt;=40,'MOSFET Database 24V'!C81,'MOSFET Database 48V'!C81)</f>
        <v>2.005198129196839</v>
      </c>
      <c r="G67" s="22">
        <f ca="1">IF(VINMAX&lt;=40,'MOSFET Database 24V'!G81,'MOSFET Database 48V'!G81)</f>
        <v>0.96247697981305036</v>
      </c>
      <c r="H67" s="22">
        <f ca="1">'MOSFET Database 24V'!K81</f>
        <v>1.9996019712711208</v>
      </c>
      <c r="I67" s="145" t="s">
        <v>125</v>
      </c>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87"/>
      <c r="AS67" t="str">
        <f>'MOSFET Database 24V'!BJ4</f>
        <v>CSD19503KCS</v>
      </c>
      <c r="AT67" t="str">
        <f t="shared" si="0"/>
        <v>CSD19503KCS , 0.15 , $0.587</v>
      </c>
      <c r="AU67" s="244">
        <f>'MOSFET Database 24V'!BK35</f>
        <v>0.58699999999999997</v>
      </c>
      <c r="AV67" s="3">
        <f>'MOSFET Database 24V'!BK33</f>
        <v>0.26801652892561978</v>
      </c>
      <c r="AW67" s="3">
        <f>'MOSFET Database 24V'!BK61</f>
        <v>0.14657207767436195</v>
      </c>
    </row>
    <row r="68" spans="1:49" ht="15" customHeight="1" x14ac:dyDescent="0.25">
      <c r="A68" s="17"/>
      <c r="B68" s="324"/>
      <c r="C68" s="17"/>
      <c r="D68" s="17"/>
      <c r="E68" s="231" t="s">
        <v>491</v>
      </c>
      <c r="F68" s="252" t="str">
        <f ca="1">IF(VINMAX&lt;=40,HYPERLINK('MOSFET Database 24V'!C82,SFET24_1),HYPERLINK('MOSFET Database 48V'!C82,SFET48_1))</f>
        <v>CSD19536KTT</v>
      </c>
      <c r="G68" s="252" t="str">
        <f ca="1">IF(VINMAX&lt;=40,HYPERLINK('MOSFET Database 24V'!G82,SFET24_2),HYPERLINK('MOSFET Database 48V'!G82,SFET48_2))</f>
        <v>CSD19535KTT</v>
      </c>
      <c r="H68" s="312" t="s">
        <v>693</v>
      </c>
      <c r="I68" s="233"/>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87"/>
      <c r="AS68" t="str">
        <f>'MOSFET Database 24V'!AX4</f>
        <v>CSD18533Q5A</v>
      </c>
      <c r="AT68" t="str">
        <f t="shared" si="0"/>
        <v>CSD18533Q5A , 0.09 , $0.464</v>
      </c>
      <c r="AU68" s="244">
        <f>'MOSFET Database 24V'!AY35</f>
        <v>0.46400000000000002</v>
      </c>
      <c r="AV68" s="3">
        <f>'MOSFET Database 24V'!AY33</f>
        <v>0.24765432098765436</v>
      </c>
      <c r="AW68" s="3">
        <f>'MOSFET Database 24V'!AY61</f>
        <v>9.4161209645219693E-2</v>
      </c>
    </row>
    <row r="69" spans="1:49" ht="15" customHeight="1" x14ac:dyDescent="0.25">
      <c r="A69" s="17"/>
      <c r="B69" s="324"/>
      <c r="C69" s="17"/>
      <c r="D69" s="17"/>
      <c r="E69" s="97" t="s">
        <v>492</v>
      </c>
      <c r="F69" s="253">
        <f ca="1">IF(VINMAX&lt;=40,'MOSFET Database 24V'!C84,'MOSFET Database 48V'!C84)</f>
        <v>1.972</v>
      </c>
      <c r="G69" s="253">
        <f ca="1">IF(VINMAX&lt;=40,'MOSFET Database 24V'!G84,'MOSFET Database 48V'!G84)</f>
        <v>1.3129999999999999</v>
      </c>
      <c r="H69" s="312" t="s">
        <v>694</v>
      </c>
      <c r="I69" s="233"/>
      <c r="J69" s="17"/>
      <c r="K69" s="334" t="s">
        <v>479</v>
      </c>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87"/>
      <c r="AS69" t="str">
        <f>'MOSFET Database 24V'!BN4</f>
        <v>CSD18534Q5A</v>
      </c>
      <c r="AT69" t="str">
        <f t="shared" si="0"/>
        <v>CSD18534Q5A , 0.18 , $0.326</v>
      </c>
      <c r="AU69" s="244">
        <f>'MOSFET Database 24V'!BO35</f>
        <v>0.32600000000000001</v>
      </c>
      <c r="AV69" s="3">
        <f>'MOSFET Database 24V'!BO33</f>
        <v>0.27537190082644636</v>
      </c>
      <c r="AW69" s="3">
        <f>'MOSFET Database 24V'!BO61</f>
        <v>0.17796466729093813</v>
      </c>
    </row>
    <row r="70" spans="1:49" ht="15" customHeight="1" thickBot="1" x14ac:dyDescent="0.3">
      <c r="A70" s="17"/>
      <c r="B70" s="325"/>
      <c r="C70" s="78"/>
      <c r="D70" s="78"/>
      <c r="E70" s="232" t="s">
        <v>493</v>
      </c>
      <c r="F70" s="254">
        <f ca="1">NUMFETS1*F69</f>
        <v>11.832000000000001</v>
      </c>
      <c r="G70" s="254">
        <f ca="1">NUMFETS2*G69</f>
        <v>9.1909999999999989</v>
      </c>
      <c r="H70" s="257"/>
      <c r="I70" s="234"/>
      <c r="J70" s="259"/>
      <c r="K70" s="335"/>
      <c r="L70" s="335"/>
      <c r="M70" s="335"/>
      <c r="N70" s="335"/>
      <c r="O70" s="335"/>
      <c r="P70" s="335"/>
      <c r="Q70" s="335"/>
      <c r="R70" s="335"/>
      <c r="S70" s="335"/>
      <c r="T70" s="335"/>
      <c r="U70" s="335"/>
      <c r="V70" s="335"/>
      <c r="W70" s="335"/>
      <c r="X70" s="335"/>
      <c r="Y70" s="335"/>
      <c r="Z70" s="335"/>
      <c r="AA70" s="335"/>
      <c r="AB70" s="335"/>
      <c r="AC70" s="335"/>
      <c r="AD70" s="335"/>
      <c r="AE70" s="335"/>
      <c r="AF70" s="335"/>
      <c r="AG70" s="335"/>
      <c r="AH70" s="335"/>
      <c r="AI70" s="335"/>
      <c r="AJ70" s="335"/>
      <c r="AK70" s="335"/>
      <c r="AL70" s="335"/>
      <c r="AM70" s="335"/>
      <c r="AN70" s="335"/>
      <c r="AO70" s="91"/>
      <c r="AS70" t="str">
        <f>'MOSFET Database 24V'!BR4</f>
        <v>CSD18543Q3A</v>
      </c>
      <c r="AT70" t="str">
        <f t="shared" si="0"/>
        <v>CSD18543Q3A , 0.21 , $0.258</v>
      </c>
      <c r="AU70" s="244">
        <f>'MOSFET Database 24V'!BS35</f>
        <v>0.25800000000000001</v>
      </c>
      <c r="AV70" s="3">
        <f>'MOSFET Database 24V'!BS33</f>
        <v>0.27204545454545453</v>
      </c>
      <c r="AW70" s="3">
        <f>'MOSFET Database 24V'!BS61</f>
        <v>0.21470913315323645</v>
      </c>
    </row>
    <row r="71" spans="1:49" ht="15" customHeight="1" x14ac:dyDescent="0.25">
      <c r="A71" s="17"/>
      <c r="B71" s="245"/>
      <c r="C71" s="17"/>
      <c r="D71" s="17"/>
      <c r="E71" s="141"/>
      <c r="F71" s="260"/>
      <c r="G71" s="260"/>
      <c r="H71" s="28"/>
      <c r="I71" s="98"/>
      <c r="J71" s="17"/>
      <c r="K71" s="247"/>
      <c r="L71" s="247"/>
      <c r="M71" s="247"/>
      <c r="N71" s="247"/>
      <c r="O71" s="24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06"/>
      <c r="AS71" t="str">
        <f>'MOSFET Database 24V'!BV4</f>
        <v>CSD18537NQ5A</v>
      </c>
      <c r="AT71" t="str">
        <f t="shared" si="0"/>
        <v>CSD18537NQ5A , 0.05 , $0.273</v>
      </c>
      <c r="AU71" s="244">
        <f>'MOSFET Database 24V'!BW35</f>
        <v>0.27300000000000002</v>
      </c>
      <c r="AV71" s="3">
        <f>'MOSFET Database 24V'!BW33</f>
        <v>0.27115384615384613</v>
      </c>
      <c r="AW71" s="3">
        <f>'MOSFET Database 24V'!BW61</f>
        <v>5.1617262985587713E-2</v>
      </c>
    </row>
    <row r="72" spans="1:49" ht="15" customHeight="1" x14ac:dyDescent="0.25">
      <c r="A72" s="17"/>
      <c r="B72" s="245"/>
      <c r="C72" s="17"/>
      <c r="D72" s="17"/>
      <c r="E72" s="141"/>
      <c r="F72" s="286" t="s">
        <v>651</v>
      </c>
      <c r="G72" s="260"/>
      <c r="H72" s="28"/>
      <c r="I72" s="98"/>
      <c r="J72" s="17"/>
      <c r="K72" s="247"/>
      <c r="L72" s="247"/>
      <c r="M72" s="247"/>
      <c r="N72" s="247"/>
      <c r="O72" s="24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87"/>
    </row>
    <row r="73" spans="1:49" ht="15" customHeight="1" x14ac:dyDescent="0.25">
      <c r="A73" s="17"/>
      <c r="B73" s="245"/>
      <c r="C73" s="17"/>
      <c r="D73" s="17"/>
      <c r="E73" s="141"/>
      <c r="F73" s="286" t="s">
        <v>650</v>
      </c>
      <c r="G73" s="260"/>
      <c r="H73" s="28"/>
      <c r="I73" s="98"/>
      <c r="J73" s="17"/>
      <c r="K73" s="247"/>
      <c r="L73" s="247"/>
      <c r="M73" s="247"/>
      <c r="N73" s="247"/>
      <c r="O73" s="24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87"/>
    </row>
    <row r="74" spans="1:49" ht="15" customHeight="1" thickBot="1" x14ac:dyDescent="0.3">
      <c r="A74" s="17"/>
      <c r="B74" s="245"/>
      <c r="C74" s="17"/>
      <c r="D74" s="17"/>
      <c r="E74" s="141"/>
      <c r="F74" s="260"/>
      <c r="G74" s="260"/>
      <c r="H74" s="28"/>
      <c r="I74" s="98"/>
      <c r="J74" s="17"/>
      <c r="K74" s="247"/>
      <c r="L74" s="247"/>
      <c r="M74" s="247"/>
      <c r="N74" s="247"/>
      <c r="O74" s="24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87"/>
    </row>
    <row r="75" spans="1:49" ht="15" customHeight="1" x14ac:dyDescent="0.25">
      <c r="A75" s="17"/>
      <c r="B75" s="126" t="s">
        <v>129</v>
      </c>
      <c r="C75" s="73"/>
      <c r="D75" s="310"/>
      <c r="E75" s="309" t="s">
        <v>649</v>
      </c>
      <c r="F75" s="270" t="s">
        <v>696</v>
      </c>
      <c r="G75" s="258"/>
      <c r="H75" s="265"/>
      <c r="I75" s="258"/>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106"/>
      <c r="AP75" s="25"/>
    </row>
    <row r="76" spans="1:49" ht="15" customHeight="1" x14ac:dyDescent="0.25">
      <c r="A76" s="17"/>
      <c r="B76" s="81"/>
      <c r="C76" s="17"/>
      <c r="D76" s="17"/>
      <c r="E76" s="29"/>
      <c r="F76" s="28"/>
      <c r="G76" s="98"/>
      <c r="H76" s="266"/>
      <c r="I76" s="98"/>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87"/>
      <c r="AP76" s="25"/>
    </row>
    <row r="77" spans="1:49" ht="15" customHeight="1" x14ac:dyDescent="0.25">
      <c r="A77" s="17"/>
      <c r="B77" s="76"/>
      <c r="C77" s="17"/>
      <c r="D77" s="17"/>
      <c r="E77" s="29"/>
      <c r="F77" s="28"/>
      <c r="G77" s="98"/>
      <c r="H77" s="266"/>
      <c r="I77" s="98"/>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87"/>
      <c r="AP77" t="s">
        <v>132</v>
      </c>
    </row>
    <row r="78" spans="1:49" ht="15" customHeight="1" x14ac:dyDescent="0.25">
      <c r="A78" s="17"/>
      <c r="B78" s="76"/>
      <c r="C78" s="17"/>
      <c r="D78" s="17"/>
      <c r="E78" s="271" t="s">
        <v>625</v>
      </c>
      <c r="F78" s="28"/>
      <c r="G78" s="98"/>
      <c r="H78" s="266"/>
      <c r="I78" s="98"/>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87"/>
      <c r="AP78" t="s">
        <v>133</v>
      </c>
    </row>
    <row r="79" spans="1:49" ht="15" customHeight="1" x14ac:dyDescent="0.25">
      <c r="A79" s="17"/>
      <c r="B79" s="76"/>
      <c r="C79" s="17"/>
      <c r="D79" s="17"/>
      <c r="E79" s="29" t="s">
        <v>304</v>
      </c>
      <c r="F79" s="45">
        <f>Start_up!M2</f>
        <v>350.00000000000023</v>
      </c>
      <c r="G79" s="145" t="s">
        <v>8</v>
      </c>
      <c r="H79" s="161"/>
      <c r="I79" s="161"/>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87"/>
      <c r="AP79" s="25"/>
    </row>
    <row r="80" spans="1:49" ht="15" customHeight="1" x14ac:dyDescent="0.25">
      <c r="A80" s="17"/>
      <c r="B80" s="76"/>
      <c r="C80" s="17"/>
      <c r="D80" s="17"/>
      <c r="E80" s="29" t="s">
        <v>311</v>
      </c>
      <c r="F80" s="137">
        <f>Start_up!O2</f>
        <v>0.81481481481481477</v>
      </c>
      <c r="G80" s="145"/>
      <c r="H80" s="161"/>
      <c r="I80" s="161"/>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87"/>
      <c r="AP80" s="25"/>
    </row>
    <row r="81" spans="1:41" ht="15" customHeight="1" x14ac:dyDescent="0.25">
      <c r="A81" s="17"/>
      <c r="B81" s="81"/>
      <c r="C81" s="17"/>
      <c r="D81" s="28"/>
      <c r="E81" s="141" t="s">
        <v>305</v>
      </c>
      <c r="F81" s="45">
        <f>Equations!F49</f>
        <v>525.00000000000034</v>
      </c>
      <c r="G81" s="146" t="s">
        <v>8</v>
      </c>
      <c r="H81" s="264"/>
      <c r="I81" s="264"/>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87"/>
    </row>
    <row r="82" spans="1:41" ht="15" customHeight="1" x14ac:dyDescent="0.25">
      <c r="A82" s="17"/>
      <c r="B82" s="76"/>
      <c r="C82" s="17"/>
      <c r="D82" s="28"/>
      <c r="E82" s="142" t="s">
        <v>309</v>
      </c>
      <c r="F82" s="45">
        <f>Equations!F50</f>
        <v>10096.153846153853</v>
      </c>
      <c r="G82" s="145" t="s">
        <v>120</v>
      </c>
      <c r="H82" s="161"/>
      <c r="I82" s="161"/>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87"/>
    </row>
    <row r="83" spans="1:41" ht="15" customHeight="1" x14ac:dyDescent="0.25">
      <c r="A83" s="17"/>
      <c r="B83" s="76"/>
      <c r="C83" s="17"/>
      <c r="D83" s="28"/>
      <c r="E83" s="142" t="s">
        <v>312</v>
      </c>
      <c r="F83" s="168">
        <v>100</v>
      </c>
      <c r="G83" s="145" t="s">
        <v>120</v>
      </c>
      <c r="H83" s="161"/>
      <c r="I83" s="161"/>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87"/>
    </row>
    <row r="84" spans="1:41" ht="15" customHeight="1" x14ac:dyDescent="0.25">
      <c r="A84" s="17"/>
      <c r="B84" s="216"/>
      <c r="C84" s="17"/>
      <c r="D84" s="28"/>
      <c r="E84" s="142" t="s">
        <v>364</v>
      </c>
      <c r="F84" s="45">
        <f>Equations!F52</f>
        <v>5.2</v>
      </c>
      <c r="G84" s="145" t="s">
        <v>8</v>
      </c>
      <c r="H84" s="161"/>
      <c r="I84" s="161"/>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87"/>
    </row>
    <row r="85" spans="1:41" ht="15" customHeight="1" x14ac:dyDescent="0.25">
      <c r="A85" s="17"/>
      <c r="B85" s="76"/>
      <c r="C85" s="17"/>
      <c r="D85" s="28"/>
      <c r="E85" s="142" t="s">
        <v>320</v>
      </c>
      <c r="F85" s="45" t="e">
        <f>_xlfn.SWITCH(F75,F54,Equations!F53,G54,Equations!G53,H54,Equations!H53)</f>
        <v>#N/A</v>
      </c>
      <c r="G85" s="145"/>
      <c r="H85" s="161"/>
      <c r="I85" s="161"/>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87"/>
    </row>
    <row r="86" spans="1:41" ht="15" customHeight="1" x14ac:dyDescent="0.25">
      <c r="A86" s="17"/>
      <c r="B86" s="76"/>
      <c r="C86" s="17"/>
      <c r="D86" s="28"/>
      <c r="E86" s="142" t="s">
        <v>368</v>
      </c>
      <c r="F86" s="167" t="s">
        <v>190</v>
      </c>
      <c r="G86" s="145"/>
      <c r="H86" s="161"/>
      <c r="I86" s="161"/>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87"/>
    </row>
    <row r="87" spans="1:41" ht="15" customHeight="1" x14ac:dyDescent="0.25">
      <c r="A87" s="17"/>
      <c r="B87" s="76"/>
      <c r="C87" s="17"/>
      <c r="D87" s="28"/>
      <c r="E87" s="142" t="s">
        <v>373</v>
      </c>
      <c r="F87" s="45" t="e">
        <f>_xlfn.SWITCH(F75,F54,dv_dt_recommendations!J29,G54,dv_dt_recommendations!J78,H54,dv_dt_recommendations!J127)</f>
        <v>#N/A</v>
      </c>
      <c r="G87" s="145" t="s">
        <v>328</v>
      </c>
      <c r="H87" s="161"/>
      <c r="I87" s="161"/>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87"/>
    </row>
    <row r="88" spans="1:41" ht="15" customHeight="1" x14ac:dyDescent="0.25">
      <c r="A88" s="17"/>
      <c r="B88" s="323" t="s">
        <v>465</v>
      </c>
      <c r="C88" s="17"/>
      <c r="D88" s="28"/>
      <c r="E88" s="142" t="s">
        <v>374</v>
      </c>
      <c r="F88" s="45" t="e">
        <f>_xlfn.SWITCH(F75,F54,dv_dt_recommendations!J30,G54,dv_dt_recommendations!J79,H54,dv_dt_recommendations!J128)</f>
        <v>#N/A</v>
      </c>
      <c r="G88" s="145" t="s">
        <v>328</v>
      </c>
      <c r="H88" s="161"/>
      <c r="I88" s="161"/>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87"/>
    </row>
    <row r="89" spans="1:41" ht="15" customHeight="1" x14ac:dyDescent="0.25">
      <c r="A89" s="17"/>
      <c r="B89" s="323"/>
      <c r="C89" s="17"/>
      <c r="D89" s="28"/>
      <c r="E89" s="142" t="s">
        <v>362</v>
      </c>
      <c r="F89" s="168">
        <v>0.2</v>
      </c>
      <c r="G89" s="145" t="s">
        <v>328</v>
      </c>
      <c r="H89" s="161"/>
      <c r="I89" s="161"/>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87"/>
    </row>
    <row r="90" spans="1:41" ht="15" customHeight="1" x14ac:dyDescent="0.25">
      <c r="A90" s="17"/>
      <c r="B90" s="323"/>
      <c r="C90" s="308"/>
      <c r="D90" s="28"/>
      <c r="E90" s="142" t="s">
        <v>351</v>
      </c>
      <c r="F90" s="45">
        <f>Equations!F57</f>
        <v>100</v>
      </c>
      <c r="G90" s="143" t="s">
        <v>120</v>
      </c>
      <c r="H90" s="66"/>
      <c r="I90" s="66"/>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87"/>
    </row>
    <row r="91" spans="1:41" ht="15" customHeight="1" x14ac:dyDescent="0.25">
      <c r="A91" s="17"/>
      <c r="B91" s="323"/>
      <c r="C91" s="308"/>
      <c r="D91" s="28"/>
      <c r="E91" s="142" t="s">
        <v>352</v>
      </c>
      <c r="F91" s="168">
        <v>100</v>
      </c>
      <c r="G91" s="145" t="s">
        <v>120</v>
      </c>
      <c r="H91" s="161"/>
      <c r="I91" s="161"/>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87"/>
    </row>
    <row r="92" spans="1:41" ht="15" customHeight="1" x14ac:dyDescent="0.25">
      <c r="A92" s="17"/>
      <c r="B92" s="323"/>
      <c r="C92" s="308"/>
      <c r="D92" s="28"/>
      <c r="E92" s="142" t="s">
        <v>463</v>
      </c>
      <c r="F92" s="45">
        <f>Equations!F59</f>
        <v>0.2</v>
      </c>
      <c r="G92" s="145" t="s">
        <v>328</v>
      </c>
      <c r="H92" s="161"/>
      <c r="I92" s="161"/>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87"/>
    </row>
    <row r="93" spans="1:41" ht="15" customHeight="1" x14ac:dyDescent="0.25">
      <c r="A93" s="17"/>
      <c r="B93" s="323"/>
      <c r="C93" s="308"/>
      <c r="D93" s="28"/>
      <c r="E93" s="142" t="s">
        <v>357</v>
      </c>
      <c r="F93" s="45" t="e">
        <f>_xlfn.SWITCH(F75,F54,Equations!F66,G54,Equations!G66,H54,Equations!H66)</f>
        <v>#N/A</v>
      </c>
      <c r="G93" s="145"/>
      <c r="H93" s="161"/>
      <c r="I93" s="161"/>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87"/>
    </row>
    <row r="94" spans="1:41" ht="15" customHeight="1" x14ac:dyDescent="0.25">
      <c r="A94" s="17"/>
      <c r="B94" s="323"/>
      <c r="C94" s="308"/>
      <c r="D94" s="28"/>
      <c r="E94" s="142" t="s">
        <v>354</v>
      </c>
      <c r="F94" s="168">
        <v>0.01</v>
      </c>
      <c r="G94" s="145" t="s">
        <v>8</v>
      </c>
      <c r="H94" s="161"/>
      <c r="I94" s="161"/>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87"/>
    </row>
    <row r="95" spans="1:41" ht="15" customHeight="1" x14ac:dyDescent="0.25">
      <c r="A95" s="17"/>
      <c r="B95" s="323"/>
      <c r="C95" s="308"/>
      <c r="D95" s="28"/>
      <c r="E95" s="142" t="s">
        <v>355</v>
      </c>
      <c r="F95" s="45">
        <f>Equations!F72</f>
        <v>0.19230769230769229</v>
      </c>
      <c r="G95" s="145" t="s">
        <v>120</v>
      </c>
      <c r="H95" s="161"/>
      <c r="I95" s="161"/>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87"/>
    </row>
    <row r="96" spans="1:41" ht="15" customHeight="1" x14ac:dyDescent="0.35">
      <c r="A96" s="17"/>
      <c r="B96" s="76"/>
      <c r="C96" s="17"/>
      <c r="D96" s="28"/>
      <c r="E96" s="142" t="s">
        <v>359</v>
      </c>
      <c r="F96" s="168">
        <v>4.7</v>
      </c>
      <c r="G96" s="145" t="s">
        <v>120</v>
      </c>
      <c r="H96" s="161"/>
      <c r="I96" s="161"/>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87"/>
    </row>
    <row r="97" spans="1:42" ht="15" customHeight="1" x14ac:dyDescent="0.25">
      <c r="A97" s="17"/>
      <c r="B97" s="76"/>
      <c r="C97" s="17"/>
      <c r="D97" s="28"/>
      <c r="E97" s="142" t="s">
        <v>361</v>
      </c>
      <c r="F97" s="45">
        <f>Equations!F74</f>
        <v>0.24440000000000001</v>
      </c>
      <c r="G97" s="145" t="s">
        <v>8</v>
      </c>
      <c r="H97" s="161"/>
      <c r="I97" s="161"/>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92" t="s">
        <v>261</v>
      </c>
    </row>
    <row r="98" spans="1:42" ht="15" customHeight="1" x14ac:dyDescent="0.25">
      <c r="A98" s="17"/>
      <c r="B98" s="76"/>
      <c r="C98" s="17"/>
      <c r="D98" s="28"/>
      <c r="E98" s="142" t="s">
        <v>365</v>
      </c>
      <c r="F98" s="45" t="e">
        <f>_xlfn.SWITCH(F75,F54,Equations!F76,G54,Equations!G76,H54,Equations!H76)</f>
        <v>#N/A</v>
      </c>
      <c r="G98" s="146"/>
      <c r="H98" s="264"/>
      <c r="I98" s="264"/>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92"/>
    </row>
    <row r="99" spans="1:42" ht="15" customHeight="1" x14ac:dyDescent="0.25">
      <c r="A99" s="17"/>
      <c r="B99" s="76"/>
      <c r="C99" s="17"/>
      <c r="D99" s="28"/>
      <c r="E99" s="141" t="s">
        <v>193</v>
      </c>
      <c r="F99" s="52">
        <f>Equations!F103</f>
        <v>3.8187499999999996</v>
      </c>
      <c r="G99" s="146" t="s">
        <v>8</v>
      </c>
      <c r="H99" s="264"/>
      <c r="I99" s="264"/>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87"/>
    </row>
    <row r="100" spans="1:42" ht="15" customHeight="1" thickBot="1" x14ac:dyDescent="0.3">
      <c r="A100" s="17"/>
      <c r="B100" s="76"/>
      <c r="C100" s="17"/>
      <c r="D100" s="28"/>
      <c r="E100" s="141" t="s">
        <v>91</v>
      </c>
      <c r="F100" s="45">
        <f>Equations!F106</f>
        <v>38.95225714285715</v>
      </c>
      <c r="G100" s="145" t="s">
        <v>8</v>
      </c>
      <c r="H100" s="161"/>
      <c r="I100" s="161"/>
      <c r="J100" s="10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87"/>
    </row>
    <row r="101" spans="1:42" ht="15" customHeight="1" x14ac:dyDescent="0.25">
      <c r="A101" s="17"/>
      <c r="B101" s="126" t="s">
        <v>207</v>
      </c>
      <c r="C101" s="119"/>
      <c r="D101" s="73"/>
      <c r="E101" s="86" t="s">
        <v>21</v>
      </c>
      <c r="F101" s="169" t="s">
        <v>20</v>
      </c>
      <c r="G101" s="152"/>
      <c r="H101" s="267"/>
      <c r="I101" s="267"/>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s="73"/>
      <c r="AN101" s="73"/>
      <c r="AO101" s="106"/>
      <c r="AP101" s="25" t="s">
        <v>19</v>
      </c>
    </row>
    <row r="102" spans="1:42" ht="15" customHeight="1" x14ac:dyDescent="0.25">
      <c r="A102" s="17"/>
      <c r="B102" s="76"/>
      <c r="C102" s="17"/>
      <c r="D102" s="17"/>
      <c r="E102" s="56" t="s">
        <v>92</v>
      </c>
      <c r="F102" s="168">
        <v>38</v>
      </c>
      <c r="G102" s="153" t="s">
        <v>86</v>
      </c>
      <c r="H102" s="161"/>
      <c r="I102" s="161"/>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87"/>
      <c r="AP102" s="25" t="s">
        <v>20</v>
      </c>
    </row>
    <row r="103" spans="1:42" ht="15" customHeight="1" x14ac:dyDescent="0.25">
      <c r="A103" s="17"/>
      <c r="B103" s="76"/>
      <c r="C103" s="17"/>
      <c r="D103" s="17"/>
      <c r="E103" s="56" t="s">
        <v>93</v>
      </c>
      <c r="F103" s="168">
        <v>35</v>
      </c>
      <c r="G103" s="153" t="s">
        <v>86</v>
      </c>
      <c r="H103" s="161"/>
      <c r="I103" s="161"/>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87"/>
      <c r="AP103" t="s">
        <v>431</v>
      </c>
    </row>
    <row r="104" spans="1:42" ht="15" customHeight="1" x14ac:dyDescent="0.25">
      <c r="A104" s="17"/>
      <c r="B104" s="76"/>
      <c r="C104" s="17"/>
      <c r="D104" s="17"/>
      <c r="E104" s="56" t="s">
        <v>102</v>
      </c>
      <c r="F104" s="168">
        <v>65</v>
      </c>
      <c r="G104" s="153" t="s">
        <v>86</v>
      </c>
      <c r="H104" s="161"/>
      <c r="I104" s="161"/>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87"/>
      <c r="AP104" t="s">
        <v>432</v>
      </c>
    </row>
    <row r="105" spans="1:42" ht="15" customHeight="1" x14ac:dyDescent="0.25">
      <c r="A105" s="17"/>
      <c r="B105" s="76"/>
      <c r="C105" s="17"/>
      <c r="D105" s="17"/>
      <c r="E105" s="97" t="s">
        <v>94</v>
      </c>
      <c r="F105" s="168">
        <v>63</v>
      </c>
      <c r="G105" s="153" t="s">
        <v>86</v>
      </c>
      <c r="H105" s="161"/>
      <c r="I105" s="161"/>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87"/>
    </row>
    <row r="106" spans="1:42" ht="15" customHeight="1" x14ac:dyDescent="0.25">
      <c r="A106" s="17"/>
      <c r="B106" s="76"/>
      <c r="C106" s="17"/>
      <c r="D106" s="17"/>
      <c r="E106" s="96" t="s">
        <v>258</v>
      </c>
      <c r="F106" s="50">
        <f>IF(F101="Option A",Equations!F124,Equations!G124)</f>
        <v>150</v>
      </c>
      <c r="G106" s="154" t="s">
        <v>84</v>
      </c>
      <c r="H106" s="160"/>
      <c r="I106" s="160"/>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87"/>
    </row>
    <row r="107" spans="1:42" ht="15" customHeight="1" x14ac:dyDescent="0.25">
      <c r="A107" s="17"/>
      <c r="B107" s="76"/>
      <c r="C107" s="17"/>
      <c r="D107" s="17"/>
      <c r="E107" s="95" t="s">
        <v>22</v>
      </c>
      <c r="F107" s="50">
        <f>IF(F101="Option A",Equations!F125,Equations!G125)</f>
        <v>11.43911439114391</v>
      </c>
      <c r="G107" s="154" t="s">
        <v>84</v>
      </c>
      <c r="H107" s="160"/>
      <c r="I107" s="160"/>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87"/>
    </row>
    <row r="108" spans="1:42" ht="15" customHeight="1" x14ac:dyDescent="0.25">
      <c r="A108" s="17"/>
      <c r="B108" s="217"/>
      <c r="C108" s="17"/>
      <c r="D108" s="17"/>
      <c r="E108" s="95" t="s">
        <v>23</v>
      </c>
      <c r="F108" s="50">
        <f>IF(F101="Option A",Equations!F126,Equations!G126)</f>
        <v>95.238095238095241</v>
      </c>
      <c r="G108" s="154" t="s">
        <v>84</v>
      </c>
      <c r="H108" s="160"/>
      <c r="I108" s="160"/>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87"/>
    </row>
    <row r="109" spans="1:42" ht="15" customHeight="1" x14ac:dyDescent="0.25">
      <c r="A109" s="17"/>
      <c r="B109" s="76"/>
      <c r="C109" s="17"/>
      <c r="D109" s="17"/>
      <c r="E109" s="95" t="s">
        <v>24</v>
      </c>
      <c r="F109" s="50">
        <f>IF(F101="Option A",Equations!F127,Equations!G127)</f>
        <v>3.7461738772899631</v>
      </c>
      <c r="G109" s="153" t="s">
        <v>84</v>
      </c>
      <c r="H109" s="161"/>
      <c r="I109" s="161"/>
      <c r="J109" s="17"/>
      <c r="K109" s="17"/>
      <c r="L109" s="90"/>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87"/>
    </row>
    <row r="110" spans="1:42" ht="15" customHeight="1" x14ac:dyDescent="0.25">
      <c r="A110" s="17"/>
      <c r="B110" s="76"/>
      <c r="C110" s="17"/>
      <c r="D110" s="17"/>
      <c r="E110" s="56" t="s">
        <v>105</v>
      </c>
      <c r="F110" s="168">
        <v>150</v>
      </c>
      <c r="G110" s="154" t="s">
        <v>84</v>
      </c>
      <c r="H110" s="160"/>
      <c r="I110" s="160"/>
      <c r="J110" s="17"/>
      <c r="K110" s="17"/>
      <c r="L110" s="90"/>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87"/>
    </row>
    <row r="111" spans="1:42" ht="15" customHeight="1" x14ac:dyDescent="0.25">
      <c r="A111" s="17"/>
      <c r="B111" s="76"/>
      <c r="C111" s="17"/>
      <c r="D111" s="17"/>
      <c r="E111" s="56" t="s">
        <v>106</v>
      </c>
      <c r="F111" s="168">
        <v>11.5</v>
      </c>
      <c r="G111" s="154" t="s">
        <v>84</v>
      </c>
      <c r="H111" s="160"/>
      <c r="I111" s="160"/>
      <c r="J111" s="17"/>
      <c r="K111" s="17"/>
      <c r="L111" s="90"/>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87"/>
    </row>
    <row r="112" spans="1:42" ht="15" customHeight="1" x14ac:dyDescent="0.25">
      <c r="A112" s="17"/>
      <c r="B112" s="76"/>
      <c r="C112" s="17"/>
      <c r="D112" s="17"/>
      <c r="E112" s="56" t="s">
        <v>107</v>
      </c>
      <c r="F112" s="168">
        <v>95.3</v>
      </c>
      <c r="G112" s="154" t="s">
        <v>84</v>
      </c>
      <c r="H112" s="160"/>
      <c r="I112" s="160"/>
      <c r="J112" s="17"/>
      <c r="K112" s="17"/>
      <c r="L112" s="90"/>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87"/>
    </row>
    <row r="113" spans="1:41" ht="15" customHeight="1" x14ac:dyDescent="0.25">
      <c r="A113" s="17"/>
      <c r="B113" s="76"/>
      <c r="C113" s="17"/>
      <c r="D113" s="17"/>
      <c r="E113" s="56" t="s">
        <v>108</v>
      </c>
      <c r="F113" s="168">
        <v>3.74</v>
      </c>
      <c r="G113" s="154" t="s">
        <v>84</v>
      </c>
      <c r="H113" s="160"/>
      <c r="I113" s="160"/>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87"/>
    </row>
    <row r="114" spans="1:41" ht="15" customHeight="1" x14ac:dyDescent="0.25">
      <c r="A114" s="17"/>
      <c r="B114" s="76"/>
      <c r="C114" s="17"/>
      <c r="D114" s="17"/>
      <c r="E114" s="17"/>
      <c r="F114" s="17"/>
      <c r="G114" s="155"/>
      <c r="H114" s="18"/>
      <c r="I114" s="18"/>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87"/>
    </row>
    <row r="115" spans="1:41" ht="15" customHeight="1" thickBot="1" x14ac:dyDescent="0.3">
      <c r="A115" s="17"/>
      <c r="B115" s="76"/>
      <c r="C115" s="88" t="s">
        <v>54</v>
      </c>
      <c r="D115" s="89" t="s">
        <v>35</v>
      </c>
      <c r="E115" s="89" t="s">
        <v>36</v>
      </c>
      <c r="F115" s="89" t="s">
        <v>37</v>
      </c>
      <c r="G115" s="155"/>
      <c r="H115" s="18"/>
      <c r="I115" s="18"/>
      <c r="J115" s="28"/>
      <c r="K115" s="28"/>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87"/>
    </row>
    <row r="116" spans="1:41" ht="15" customHeight="1" x14ac:dyDescent="0.25">
      <c r="A116" s="17"/>
      <c r="B116" s="76"/>
      <c r="C116" s="29" t="s">
        <v>95</v>
      </c>
      <c r="D116" s="41">
        <f>IF($F$101="Option A",Equations!F128,Equations!G128)</f>
        <v>36.244782608695658</v>
      </c>
      <c r="E116" s="42">
        <f>IF($F$101="Option A",Equations!F129,Equations!G129)</f>
        <v>37.82782608695652</v>
      </c>
      <c r="F116" s="43">
        <f>IF($F$101="Option A",Equations!F130,Equations!G130)</f>
        <v>39.410869565217389</v>
      </c>
      <c r="G116" s="153" t="s">
        <v>86</v>
      </c>
      <c r="H116" s="161"/>
      <c r="I116" s="161"/>
      <c r="J116" s="28"/>
      <c r="K116" s="28"/>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87"/>
    </row>
    <row r="117" spans="1:41" ht="15" customHeight="1" x14ac:dyDescent="0.25">
      <c r="A117" s="17"/>
      <c r="B117" s="76"/>
      <c r="C117" s="29" t="s">
        <v>96</v>
      </c>
      <c r="D117" s="44">
        <f>IF($F$101="Option A",Equations!F131,Equations!G131)</f>
        <v>33.844782608695652</v>
      </c>
      <c r="E117" s="45">
        <f>IF($F$101="Option A",Equations!F132,Equations!G132)</f>
        <v>34.82782608695652</v>
      </c>
      <c r="F117" s="46">
        <f>IF($F$101="Option A",Equations!F133,Equations!G133)</f>
        <v>35.810869565217388</v>
      </c>
      <c r="G117" s="153" t="s">
        <v>86</v>
      </c>
      <c r="H117" s="161"/>
      <c r="I117" s="161"/>
      <c r="J117" s="28"/>
      <c r="K117" s="28"/>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87"/>
    </row>
    <row r="118" spans="1:41" ht="15" customHeight="1" x14ac:dyDescent="0.25">
      <c r="A118" s="17"/>
      <c r="B118" s="76"/>
      <c r="C118" s="29" t="s">
        <v>97</v>
      </c>
      <c r="D118" s="44">
        <f>IF($F$101="Option A",Equations!F134,Equations!G134)</f>
        <v>63.290267379679143</v>
      </c>
      <c r="E118" s="45">
        <f>IF($F$101="Option A",Equations!F135,Equations!G135)</f>
        <v>65.143957219251334</v>
      </c>
      <c r="F118" s="46">
        <f>IF($F$101="Option A",Equations!F136,Equations!G136)</f>
        <v>66.997647058823517</v>
      </c>
      <c r="G118" s="153" t="s">
        <v>86</v>
      </c>
      <c r="H118" s="161"/>
      <c r="I118" s="161"/>
      <c r="J118" s="28"/>
      <c r="K118" s="28"/>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87"/>
    </row>
    <row r="119" spans="1:41" ht="15" customHeight="1" thickBot="1" x14ac:dyDescent="0.3">
      <c r="A119" s="17"/>
      <c r="B119" s="76"/>
      <c r="C119" s="29" t="s">
        <v>98</v>
      </c>
      <c r="D119" s="47">
        <f>IF($F$101="Option A",Equations!F137,Equations!G137)</f>
        <v>61.003067379679145</v>
      </c>
      <c r="E119" s="48">
        <f>IF($F$101="Option A",Equations!F138,Equations!G138)</f>
        <v>63.142657219251333</v>
      </c>
      <c r="F119" s="49">
        <f>IF($F$101="Option A",Equations!F139,Equations!G139)</f>
        <v>65.472847058823518</v>
      </c>
      <c r="G119" s="153" t="s">
        <v>86</v>
      </c>
      <c r="H119" s="161"/>
      <c r="I119" s="161"/>
      <c r="J119" s="28"/>
      <c r="K119" s="28"/>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87"/>
    </row>
    <row r="120" spans="1:41" ht="15" customHeight="1" x14ac:dyDescent="0.25">
      <c r="A120" s="17"/>
      <c r="B120" s="76"/>
      <c r="C120" s="331" t="s">
        <v>442</v>
      </c>
      <c r="D120" s="331"/>
      <c r="E120" s="331"/>
      <c r="F120" s="331"/>
      <c r="G120" s="332"/>
      <c r="H120" s="246"/>
      <c r="I120" s="246"/>
      <c r="J120" s="28"/>
      <c r="K120" s="28"/>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87"/>
    </row>
    <row r="121" spans="1:41" ht="15" customHeight="1" x14ac:dyDescent="0.25">
      <c r="A121" s="17"/>
      <c r="B121" s="76"/>
      <c r="C121" s="331"/>
      <c r="D121" s="331"/>
      <c r="E121" s="331"/>
      <c r="F121" s="331"/>
      <c r="G121" s="332"/>
      <c r="H121" s="246"/>
      <c r="I121" s="246"/>
      <c r="J121" s="28"/>
      <c r="K121" s="28"/>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87"/>
    </row>
    <row r="122" spans="1:41" ht="15" customHeight="1" x14ac:dyDescent="0.25">
      <c r="A122" s="17"/>
      <c r="B122" s="76"/>
      <c r="C122" s="331"/>
      <c r="D122" s="331"/>
      <c r="E122" s="331"/>
      <c r="F122" s="331"/>
      <c r="G122" s="332"/>
      <c r="H122" s="246"/>
      <c r="I122" s="246"/>
      <c r="J122" s="28"/>
      <c r="K122" s="28"/>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87"/>
    </row>
    <row r="123" spans="1:41" ht="15" customHeight="1" x14ac:dyDescent="0.35">
      <c r="A123" s="17"/>
      <c r="B123" s="75"/>
      <c r="C123" s="17"/>
      <c r="D123" s="17"/>
      <c r="E123" s="29" t="s">
        <v>114</v>
      </c>
      <c r="F123" s="170">
        <v>10</v>
      </c>
      <c r="G123" s="156" t="s">
        <v>84</v>
      </c>
      <c r="H123" s="268"/>
      <c r="I123" s="268"/>
      <c r="J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87"/>
    </row>
    <row r="124" spans="1:41" ht="15" customHeight="1" x14ac:dyDescent="0.25">
      <c r="A124" s="17"/>
      <c r="B124" s="76"/>
      <c r="C124" s="17"/>
      <c r="D124" s="17"/>
      <c r="E124" s="29" t="s">
        <v>115</v>
      </c>
      <c r="F124" s="170">
        <v>38</v>
      </c>
      <c r="G124" s="157" t="s">
        <v>86</v>
      </c>
      <c r="H124" s="269"/>
      <c r="I124" s="269"/>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87"/>
    </row>
    <row r="125" spans="1:41" ht="15" customHeight="1" x14ac:dyDescent="0.25">
      <c r="A125" s="17"/>
      <c r="B125" s="76"/>
      <c r="C125" s="17"/>
      <c r="D125" s="17"/>
      <c r="E125" s="29" t="s">
        <v>116</v>
      </c>
      <c r="F125" s="170">
        <v>3</v>
      </c>
      <c r="G125" s="157" t="s">
        <v>86</v>
      </c>
      <c r="H125" s="269"/>
      <c r="I125" s="269"/>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87"/>
    </row>
    <row r="126" spans="1:41" ht="15" customHeight="1" x14ac:dyDescent="0.25">
      <c r="A126" s="17"/>
      <c r="B126" s="76"/>
      <c r="C126" s="17"/>
      <c r="D126" s="17"/>
      <c r="E126" s="99" t="s">
        <v>449</v>
      </c>
      <c r="F126" s="53">
        <f>F125/('Device Parameters'!D52/1000)</f>
        <v>150</v>
      </c>
      <c r="G126" s="156" t="s">
        <v>84</v>
      </c>
      <c r="H126" s="268"/>
      <c r="I126" s="268"/>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87"/>
    </row>
    <row r="127" spans="1:41" ht="15" customHeight="1" x14ac:dyDescent="0.25">
      <c r="A127" s="17"/>
      <c r="B127" s="76"/>
      <c r="C127" s="17"/>
      <c r="D127" s="17"/>
      <c r="E127" s="99" t="s">
        <v>450</v>
      </c>
      <c r="F127" s="117">
        <f>F126*'Device Parameters'!D51/(F124-'Device Parameters'!D51)</f>
        <v>10.382667416994936</v>
      </c>
      <c r="G127" s="156" t="s">
        <v>84</v>
      </c>
      <c r="H127" s="268"/>
      <c r="I127" s="268"/>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87"/>
    </row>
    <row r="128" spans="1:41" ht="15" customHeight="1" x14ac:dyDescent="0.25">
      <c r="A128" s="17"/>
      <c r="B128" s="76"/>
      <c r="C128" s="17"/>
      <c r="D128" s="17"/>
      <c r="E128" s="29" t="s">
        <v>451</v>
      </c>
      <c r="F128" s="170">
        <v>150</v>
      </c>
      <c r="G128" s="156" t="s">
        <v>84</v>
      </c>
      <c r="H128" s="268"/>
      <c r="I128" s="268"/>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87"/>
    </row>
    <row r="129" spans="1:41" ht="15" customHeight="1" x14ac:dyDescent="0.25">
      <c r="A129" s="17"/>
      <c r="B129" s="76"/>
      <c r="C129" s="17"/>
      <c r="D129" s="17"/>
      <c r="E129" s="99" t="s">
        <v>450</v>
      </c>
      <c r="F129" s="170">
        <v>10.5</v>
      </c>
      <c r="G129" s="156" t="s">
        <v>84</v>
      </c>
      <c r="H129" s="268"/>
      <c r="I129" s="268"/>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87"/>
    </row>
    <row r="130" spans="1:41" ht="15" customHeight="1" x14ac:dyDescent="0.25">
      <c r="A130" s="17"/>
      <c r="B130" s="76"/>
      <c r="C130" s="17"/>
      <c r="D130" s="17"/>
      <c r="E130" s="99" t="s">
        <v>229</v>
      </c>
      <c r="F130" s="117">
        <f>Equations!F109</f>
        <v>37.602857142857147</v>
      </c>
      <c r="G130" s="157" t="s">
        <v>86</v>
      </c>
      <c r="H130" s="269"/>
      <c r="I130" s="269"/>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87"/>
    </row>
    <row r="131" spans="1:41" ht="15" customHeight="1" thickBot="1" x14ac:dyDescent="0.3">
      <c r="A131" s="17"/>
      <c r="B131" s="76"/>
      <c r="C131" s="78"/>
      <c r="D131" s="78"/>
      <c r="E131" s="99" t="s">
        <v>230</v>
      </c>
      <c r="F131" s="121">
        <f>Equations!F112/1000</f>
        <v>3</v>
      </c>
      <c r="G131" s="157" t="s">
        <v>86</v>
      </c>
      <c r="H131" s="269"/>
      <c r="I131" s="269"/>
      <c r="J131" s="78"/>
      <c r="K131" s="78"/>
      <c r="L131" s="78"/>
      <c r="M131" s="78"/>
      <c r="N131" s="78"/>
      <c r="O131" s="78"/>
      <c r="P131" s="78"/>
      <c r="Q131" s="78"/>
      <c r="R131" s="78"/>
      <c r="S131" s="78"/>
      <c r="T131" s="78"/>
      <c r="U131" s="78"/>
      <c r="V131" s="78"/>
      <c r="W131" s="78"/>
      <c r="X131" s="78"/>
      <c r="Y131" s="78"/>
      <c r="Z131" s="78"/>
      <c r="AA131" s="78"/>
      <c r="AB131" s="78"/>
      <c r="AC131" s="78"/>
      <c r="AD131" s="78"/>
      <c r="AE131" s="78"/>
      <c r="AF131" s="78"/>
      <c r="AG131" s="78"/>
      <c r="AH131" s="78"/>
      <c r="AI131" s="78"/>
      <c r="AJ131" s="78"/>
      <c r="AK131" s="78"/>
      <c r="AL131" s="78"/>
      <c r="AM131" s="78"/>
      <c r="AN131" s="78"/>
      <c r="AO131" s="91"/>
    </row>
    <row r="132" spans="1:41" ht="15" customHeight="1" x14ac:dyDescent="0.25">
      <c r="A132" s="17"/>
      <c r="B132" s="126" t="s">
        <v>212</v>
      </c>
      <c r="C132" s="73"/>
      <c r="D132" s="73"/>
      <c r="E132" s="108" t="s">
        <v>437</v>
      </c>
      <c r="F132" s="85">
        <f>Rs</f>
        <v>0.1</v>
      </c>
      <c r="G132" s="158" t="s">
        <v>85</v>
      </c>
      <c r="H132" s="158"/>
      <c r="I132" s="158"/>
      <c r="J132" s="73"/>
      <c r="K132" s="73"/>
      <c r="L132" s="73"/>
      <c r="M132" s="73"/>
      <c r="N132" s="73"/>
      <c r="O132" s="73"/>
      <c r="P132" s="73"/>
      <c r="Q132" s="73"/>
      <c r="R132" s="73"/>
      <c r="S132" s="73"/>
      <c r="T132" s="73"/>
      <c r="U132" s="73"/>
      <c r="V132" s="73"/>
      <c r="W132" s="73"/>
      <c r="X132" s="73"/>
      <c r="Y132" s="73"/>
      <c r="Z132" s="73"/>
      <c r="AA132" s="73"/>
      <c r="AB132" s="73"/>
      <c r="AC132" s="73"/>
      <c r="AD132" s="73"/>
      <c r="AE132" s="73"/>
      <c r="AF132" s="73"/>
      <c r="AG132" s="73"/>
      <c r="AH132" s="73"/>
      <c r="AI132" s="73"/>
      <c r="AJ132" s="73"/>
      <c r="AK132" s="73"/>
      <c r="AL132" s="73"/>
      <c r="AM132" s="73"/>
      <c r="AN132" s="73"/>
      <c r="AO132" s="106"/>
    </row>
    <row r="133" spans="1:41" ht="15" customHeight="1" x14ac:dyDescent="0.25">
      <c r="A133" s="17"/>
      <c r="B133" s="75"/>
      <c r="C133" s="17"/>
      <c r="D133" s="17"/>
      <c r="E133" s="93" t="s">
        <v>210</v>
      </c>
      <c r="F133" s="94" t="str">
        <f>IF(F34="No", "DNP",RDIV1)</f>
        <v>DNP</v>
      </c>
      <c r="G133" s="159" t="s">
        <v>87</v>
      </c>
      <c r="H133" s="159"/>
      <c r="I133" s="159"/>
      <c r="J133" s="17"/>
      <c r="K133" s="17"/>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127"/>
    </row>
    <row r="134" spans="1:41" ht="15" customHeight="1" thickBot="1" x14ac:dyDescent="0.3">
      <c r="A134" s="17"/>
      <c r="B134" s="75"/>
      <c r="C134" s="17"/>
      <c r="D134" s="17"/>
      <c r="E134" s="93" t="s">
        <v>211</v>
      </c>
      <c r="F134" s="94">
        <f>IF(F34="No",0,RDIV2)</f>
        <v>0</v>
      </c>
      <c r="G134" s="159" t="s">
        <v>87</v>
      </c>
      <c r="H134" s="159"/>
      <c r="I134" s="159"/>
      <c r="J134" s="17"/>
      <c r="K134" s="329" t="s">
        <v>480</v>
      </c>
      <c r="L134" s="329"/>
      <c r="M134" s="330"/>
      <c r="N134" s="330"/>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127"/>
    </row>
    <row r="135" spans="1:41" ht="15" customHeight="1" x14ac:dyDescent="0.25">
      <c r="A135" s="17"/>
      <c r="B135" s="76"/>
      <c r="C135" s="17"/>
      <c r="D135" s="17"/>
      <c r="E135" s="55" t="s">
        <v>17</v>
      </c>
      <c r="F135" s="36">
        <f>F51</f>
        <v>47</v>
      </c>
      <c r="G135" s="160" t="s">
        <v>84</v>
      </c>
      <c r="H135" s="160"/>
      <c r="I135" s="160"/>
      <c r="J135" s="351"/>
      <c r="K135" s="352"/>
      <c r="L135" s="353"/>
      <c r="M135" s="281" t="s">
        <v>444</v>
      </c>
      <c r="N135" s="218" t="s">
        <v>155</v>
      </c>
      <c r="O135" s="28"/>
      <c r="P135" s="111"/>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282" t="s">
        <v>155</v>
      </c>
      <c r="AN135" s="111"/>
      <c r="AO135" s="112"/>
    </row>
    <row r="136" spans="1:41" ht="15" customHeight="1" x14ac:dyDescent="0.25">
      <c r="A136" s="17"/>
      <c r="B136" s="76"/>
      <c r="C136" s="17"/>
      <c r="D136" s="17"/>
      <c r="E136" s="56" t="s">
        <v>438</v>
      </c>
      <c r="F136" s="45">
        <f>IF(F30="Soft Start", F96, F83)</f>
        <v>4.7</v>
      </c>
      <c r="G136" s="161" t="s">
        <v>120</v>
      </c>
      <c r="H136" s="161"/>
      <c r="I136" s="161"/>
      <c r="J136" s="357" t="s">
        <v>213</v>
      </c>
      <c r="K136" s="358"/>
      <c r="L136" s="359"/>
      <c r="M136" s="118">
        <f>F42</f>
        <v>260</v>
      </c>
      <c r="N136" s="197" t="s">
        <v>25</v>
      </c>
      <c r="O136" s="28"/>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283" t="s">
        <v>25</v>
      </c>
      <c r="AN136" s="17"/>
      <c r="AO136" s="92"/>
    </row>
    <row r="137" spans="1:41" ht="15" customHeight="1" x14ac:dyDescent="0.25">
      <c r="A137" s="17"/>
      <c r="B137" s="76"/>
      <c r="C137" s="17"/>
      <c r="D137" s="17"/>
      <c r="E137" s="55" t="s">
        <v>11</v>
      </c>
      <c r="F137" s="36">
        <f>F110</f>
        <v>150</v>
      </c>
      <c r="G137" s="160" t="s">
        <v>84</v>
      </c>
      <c r="H137" s="160"/>
      <c r="I137" s="160"/>
      <c r="J137" s="354" t="s">
        <v>165</v>
      </c>
      <c r="K137" s="355"/>
      <c r="L137" s="356"/>
      <c r="M137" s="114">
        <f>F52</f>
        <v>3719.9999999999995</v>
      </c>
      <c r="N137" s="197" t="s">
        <v>87</v>
      </c>
      <c r="O137" s="28"/>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283" t="s">
        <v>87</v>
      </c>
      <c r="AN137" s="17"/>
      <c r="AO137" s="92"/>
    </row>
    <row r="138" spans="1:41" ht="15" customHeight="1" x14ac:dyDescent="0.25">
      <c r="A138" s="17"/>
      <c r="B138" s="76"/>
      <c r="C138" s="17"/>
      <c r="D138" s="17"/>
      <c r="E138" s="55" t="s">
        <v>12</v>
      </c>
      <c r="F138" s="36">
        <f>F111</f>
        <v>11.5</v>
      </c>
      <c r="G138" s="160" t="s">
        <v>84</v>
      </c>
      <c r="H138" s="160"/>
      <c r="I138" s="160"/>
      <c r="J138" s="360" t="s">
        <v>472</v>
      </c>
      <c r="K138" s="361"/>
      <c r="L138" s="362"/>
      <c r="M138" s="118">
        <f>Equations!F20</f>
        <v>493.99999999999994</v>
      </c>
      <c r="N138" s="197" t="s">
        <v>25</v>
      </c>
      <c r="O138" s="28"/>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283" t="s">
        <v>25</v>
      </c>
      <c r="AN138" s="17"/>
      <c r="AO138" s="92"/>
    </row>
    <row r="139" spans="1:41" ht="15" customHeight="1" x14ac:dyDescent="0.25">
      <c r="A139" s="17"/>
      <c r="B139" s="76"/>
      <c r="C139" s="17"/>
      <c r="D139" s="17"/>
      <c r="E139" s="55" t="s">
        <v>13</v>
      </c>
      <c r="F139" s="36">
        <f>F112</f>
        <v>95.3</v>
      </c>
      <c r="G139" s="160" t="s">
        <v>84</v>
      </c>
      <c r="H139" s="160"/>
      <c r="I139" s="160"/>
      <c r="J139" s="354" t="s">
        <v>214</v>
      </c>
      <c r="K139" s="355"/>
      <c r="L139" s="356"/>
      <c r="M139" s="120">
        <f>IF(F30="Soft Start",Equations!F61,Start_up!M2)</f>
        <v>350</v>
      </c>
      <c r="N139" s="197" t="s">
        <v>8</v>
      </c>
      <c r="O139" s="28"/>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283" t="s">
        <v>8</v>
      </c>
      <c r="AN139" s="17"/>
      <c r="AO139" s="92"/>
    </row>
    <row r="140" spans="1:41" ht="15" customHeight="1" x14ac:dyDescent="0.25">
      <c r="A140" s="17"/>
      <c r="B140" s="76"/>
      <c r="C140" s="17"/>
      <c r="D140" s="17"/>
      <c r="E140" s="55" t="s">
        <v>14</v>
      </c>
      <c r="F140" s="37">
        <f>IF(F101="Option A","N/A",F113)</f>
        <v>3.74</v>
      </c>
      <c r="G140" s="160" t="s">
        <v>84</v>
      </c>
      <c r="H140" s="160"/>
      <c r="I140" s="160"/>
      <c r="J140" s="354" t="s">
        <v>215</v>
      </c>
      <c r="K140" s="355"/>
      <c r="L140" s="356"/>
      <c r="M140" s="118">
        <f>TINSERT</f>
        <v>3.8187499999999996</v>
      </c>
      <c r="N140" s="197" t="s">
        <v>8</v>
      </c>
      <c r="O140" s="28"/>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283" t="s">
        <v>8</v>
      </c>
      <c r="AN140" s="17"/>
      <c r="AO140" s="92"/>
    </row>
    <row r="141" spans="1:41" ht="15" customHeight="1" x14ac:dyDescent="0.25">
      <c r="A141" s="17"/>
      <c r="B141" s="76"/>
      <c r="C141" s="17"/>
      <c r="D141" s="17"/>
      <c r="E141" s="56" t="s">
        <v>439</v>
      </c>
      <c r="F141" s="38">
        <f>F128</f>
        <v>150</v>
      </c>
      <c r="G141" s="160" t="s">
        <v>84</v>
      </c>
      <c r="H141" s="160"/>
      <c r="I141" s="160"/>
      <c r="J141" s="354" t="s">
        <v>216</v>
      </c>
      <c r="K141" s="355"/>
      <c r="L141" s="356"/>
      <c r="M141" s="120">
        <f>IF(F30="Soft Start", F97,F84)</f>
        <v>0.24440000000000001</v>
      </c>
      <c r="N141" s="197" t="s">
        <v>8</v>
      </c>
      <c r="O141" s="28"/>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283" t="s">
        <v>8</v>
      </c>
      <c r="AN141" s="17"/>
      <c r="AO141" s="92"/>
    </row>
    <row r="142" spans="1:41" ht="15" customHeight="1" x14ac:dyDescent="0.25">
      <c r="A142" s="17"/>
      <c r="B142" s="76"/>
      <c r="C142" s="17"/>
      <c r="D142" s="17"/>
      <c r="E142" s="56" t="s">
        <v>440</v>
      </c>
      <c r="F142" s="38">
        <f>F129</f>
        <v>10.5</v>
      </c>
      <c r="G142" s="160" t="s">
        <v>84</v>
      </c>
      <c r="H142" s="160"/>
      <c r="I142" s="160"/>
      <c r="J142" s="354" t="s">
        <v>217</v>
      </c>
      <c r="K142" s="355"/>
      <c r="L142" s="356"/>
      <c r="M142" s="115">
        <f>F100</f>
        <v>38.95225714285715</v>
      </c>
      <c r="N142" s="197" t="s">
        <v>8</v>
      </c>
      <c r="O142" s="28"/>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283" t="s">
        <v>8</v>
      </c>
      <c r="AN142" s="17"/>
      <c r="AO142" s="92"/>
    </row>
    <row r="143" spans="1:41" ht="15" customHeight="1" x14ac:dyDescent="0.25">
      <c r="A143" s="17"/>
      <c r="B143" s="76"/>
      <c r="C143" s="17"/>
      <c r="D143" s="17"/>
      <c r="E143" s="56" t="s">
        <v>441</v>
      </c>
      <c r="F143" s="40">
        <f>IF(F30="Soft Start", F91, "DNP")</f>
        <v>100</v>
      </c>
      <c r="G143" s="161" t="s">
        <v>120</v>
      </c>
      <c r="H143" s="161"/>
      <c r="I143" s="161"/>
      <c r="J143" s="345" t="s">
        <v>218</v>
      </c>
      <c r="K143" s="346"/>
      <c r="L143" s="347"/>
      <c r="M143" s="115">
        <f>E116</f>
        <v>37.82782608695652</v>
      </c>
      <c r="N143" s="197" t="s">
        <v>86</v>
      </c>
      <c r="O143" s="28"/>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283" t="s">
        <v>86</v>
      </c>
      <c r="AN143" s="17"/>
      <c r="AO143" s="92"/>
    </row>
    <row r="144" spans="1:41" ht="15" customHeight="1" x14ac:dyDescent="0.25">
      <c r="A144" s="17"/>
      <c r="B144" s="76"/>
      <c r="C144" s="17"/>
      <c r="D144" s="17"/>
      <c r="E144" s="55" t="s">
        <v>55</v>
      </c>
      <c r="F144" s="39">
        <v>0.01</v>
      </c>
      <c r="G144" s="160" t="s">
        <v>83</v>
      </c>
      <c r="H144" s="160"/>
      <c r="I144" s="160"/>
      <c r="J144" s="345" t="s">
        <v>220</v>
      </c>
      <c r="K144" s="346"/>
      <c r="L144" s="347"/>
      <c r="M144" s="115">
        <f>E117</f>
        <v>34.82782608695652</v>
      </c>
      <c r="N144" s="197" t="s">
        <v>86</v>
      </c>
      <c r="O144" s="28"/>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283" t="s">
        <v>86</v>
      </c>
      <c r="AN144" s="17"/>
      <c r="AO144" s="92"/>
    </row>
    <row r="145" spans="1:42" ht="15" customHeight="1" x14ac:dyDescent="0.25">
      <c r="A145" s="17"/>
      <c r="B145" s="76"/>
      <c r="C145" s="17"/>
      <c r="D145" s="17"/>
      <c r="E145" s="56" t="s">
        <v>208</v>
      </c>
      <c r="F145" s="40">
        <v>1</v>
      </c>
      <c r="G145" s="160" t="s">
        <v>83</v>
      </c>
      <c r="H145" s="160"/>
      <c r="I145" s="160"/>
      <c r="J145" s="345" t="s">
        <v>221</v>
      </c>
      <c r="K145" s="346"/>
      <c r="L145" s="347"/>
      <c r="M145" s="115">
        <f>E118</f>
        <v>65.143957219251334</v>
      </c>
      <c r="N145" s="197" t="s">
        <v>86</v>
      </c>
      <c r="O145" s="28"/>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283" t="s">
        <v>86</v>
      </c>
      <c r="AN145" s="17"/>
      <c r="AO145" s="92"/>
    </row>
    <row r="146" spans="1:42" ht="15" customHeight="1" x14ac:dyDescent="0.25">
      <c r="A146" s="17"/>
      <c r="B146" s="76"/>
      <c r="C146" s="17"/>
      <c r="D146" s="17"/>
      <c r="E146" s="56" t="s">
        <v>209</v>
      </c>
      <c r="F146" s="40">
        <v>1</v>
      </c>
      <c r="G146" s="160" t="s">
        <v>83</v>
      </c>
      <c r="H146" s="160"/>
      <c r="I146" s="160"/>
      <c r="J146" s="345" t="s">
        <v>219</v>
      </c>
      <c r="K146" s="346"/>
      <c r="L146" s="347"/>
      <c r="M146" s="115">
        <f>E119</f>
        <v>63.142657219251333</v>
      </c>
      <c r="N146" s="197" t="s">
        <v>86</v>
      </c>
      <c r="O146" s="28"/>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283" t="s">
        <v>86</v>
      </c>
      <c r="AN146" s="17"/>
      <c r="AO146" s="92"/>
    </row>
    <row r="147" spans="1:42" ht="15" customHeight="1" x14ac:dyDescent="0.25">
      <c r="A147" s="17"/>
      <c r="B147" s="76"/>
      <c r="C147" s="17"/>
      <c r="D147" s="17"/>
      <c r="E147" s="56" t="s">
        <v>228</v>
      </c>
      <c r="F147" s="36" t="str">
        <f>IF(F32="26 mV","VDD","GND")</f>
        <v>VDD</v>
      </c>
      <c r="G147" s="161"/>
      <c r="H147" s="161"/>
      <c r="I147" s="161"/>
      <c r="J147" s="345" t="s">
        <v>223</v>
      </c>
      <c r="K147" s="346"/>
      <c r="L147" s="347"/>
      <c r="M147" s="19">
        <f>Equations!F109</f>
        <v>37.602857142857147</v>
      </c>
      <c r="N147" s="197" t="s">
        <v>86</v>
      </c>
      <c r="O147" s="28"/>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283" t="s">
        <v>86</v>
      </c>
      <c r="AN147" s="17"/>
      <c r="AO147" s="92"/>
    </row>
    <row r="148" spans="1:42" ht="15" customHeight="1" thickBot="1" x14ac:dyDescent="0.3">
      <c r="A148" s="17"/>
      <c r="B148" s="76"/>
      <c r="C148" s="17"/>
      <c r="D148" s="17"/>
      <c r="E148" s="56" t="s">
        <v>227</v>
      </c>
      <c r="F148" s="40" t="str">
        <f>IF(F46="1.9 x Current Limit","VDD","GND")</f>
        <v>VDD</v>
      </c>
      <c r="G148" s="161"/>
      <c r="H148" s="161"/>
      <c r="I148" s="161"/>
      <c r="J148" s="348" t="s">
        <v>222</v>
      </c>
      <c r="K148" s="349"/>
      <c r="L148" s="350"/>
      <c r="M148" s="113">
        <f>Equations!F112/1000</f>
        <v>3</v>
      </c>
      <c r="N148" s="198" t="s">
        <v>86</v>
      </c>
      <c r="O148" s="28"/>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284" t="s">
        <v>86</v>
      </c>
      <c r="AN148" s="17"/>
      <c r="AO148" s="92"/>
    </row>
    <row r="149" spans="1:42" ht="15" customHeight="1" x14ac:dyDescent="0.25">
      <c r="A149" s="17"/>
      <c r="B149" s="76"/>
      <c r="C149" s="17"/>
      <c r="D149" s="17"/>
      <c r="E149" s="56" t="s">
        <v>231</v>
      </c>
      <c r="F149" s="104" t="str">
        <f>IF(F45="Retry","GND","VDD")</f>
        <v>VDD</v>
      </c>
      <c r="G149" s="161"/>
      <c r="H149" s="161" t="s">
        <v>468</v>
      </c>
      <c r="I149" s="161"/>
      <c r="J149" s="17"/>
      <c r="K149" s="10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12"/>
    </row>
    <row r="150" spans="1:42" ht="15" customHeight="1" x14ac:dyDescent="0.25">
      <c r="A150" s="17"/>
      <c r="B150" s="76"/>
      <c r="C150" s="17"/>
      <c r="D150" s="17"/>
      <c r="E150" s="56" t="s">
        <v>467</v>
      </c>
      <c r="F150" s="104" t="s">
        <v>468</v>
      </c>
      <c r="G150" s="98"/>
      <c r="H150" s="98" t="s">
        <v>702</v>
      </c>
      <c r="I150" s="98"/>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92"/>
    </row>
    <row r="151" spans="1:42" ht="15" customHeight="1" x14ac:dyDescent="0.25">
      <c r="A151" s="17"/>
      <c r="B151" s="76"/>
      <c r="C151" s="17"/>
      <c r="D151" s="17"/>
      <c r="E151" s="56" t="s">
        <v>447</v>
      </c>
      <c r="F151" s="104" t="str">
        <f>IF(F30="Soft Start","1N4148W-7-F","DNP")</f>
        <v>1N4148W-7-F</v>
      </c>
      <c r="G151" s="98"/>
      <c r="H151" s="98"/>
      <c r="I151" s="98"/>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92"/>
      <c r="AP151" s="25"/>
    </row>
    <row r="152" spans="1:42" ht="15" customHeight="1" x14ac:dyDescent="0.25">
      <c r="A152" s="17"/>
      <c r="B152" s="76"/>
      <c r="C152" s="17"/>
      <c r="D152" s="17"/>
      <c r="E152" s="56" t="s">
        <v>469</v>
      </c>
      <c r="F152" s="104" t="str">
        <f>F75</f>
        <v>CSD19536KTT , 2.63 , $1.972</v>
      </c>
      <c r="G152" s="98"/>
      <c r="H152" s="98"/>
      <c r="I152" s="98"/>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92"/>
      <c r="AP152" s="25"/>
    </row>
    <row r="153" spans="1:42" ht="15" customHeight="1" x14ac:dyDescent="0.25">
      <c r="A153" s="17"/>
      <c r="B153" s="76"/>
      <c r="C153" s="17"/>
      <c r="D153" s="17"/>
      <c r="E153" s="56" t="s">
        <v>644</v>
      </c>
      <c r="F153" s="104">
        <f ca="1">LOOKUP(F152,F54:H54,F64:H64)</f>
        <v>7</v>
      </c>
      <c r="G153" s="98"/>
      <c r="H153" s="98"/>
      <c r="I153" s="98"/>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92"/>
      <c r="AP153" s="25"/>
    </row>
    <row r="154" spans="1:42" ht="15" customHeight="1" x14ac:dyDescent="0.25">
      <c r="A154" s="17"/>
      <c r="B154" s="76"/>
      <c r="C154" s="17"/>
      <c r="D154" s="17"/>
      <c r="E154" s="56" t="s">
        <v>470</v>
      </c>
      <c r="F154" s="104" t="s">
        <v>699</v>
      </c>
      <c r="G154" s="98"/>
      <c r="H154" s="98"/>
      <c r="I154" s="98"/>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92"/>
      <c r="AP154" s="25"/>
    </row>
    <row r="155" spans="1:42" ht="15" customHeight="1" x14ac:dyDescent="0.25">
      <c r="A155" s="17"/>
      <c r="B155" s="76"/>
      <c r="C155" s="17"/>
      <c r="D155" s="17"/>
      <c r="E155" s="56" t="s">
        <v>448</v>
      </c>
      <c r="F155" s="104" t="str">
        <f>IF(F30="Soft Start","MMBT5401LT1G","DNP")</f>
        <v>MMBT5401LT1G</v>
      </c>
      <c r="G155" s="98"/>
      <c r="H155" s="98"/>
      <c r="I155" s="98"/>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92"/>
      <c r="AP155" s="25"/>
    </row>
    <row r="156" spans="1:42" ht="15" customHeight="1" x14ac:dyDescent="0.25">
      <c r="A156" s="17"/>
      <c r="B156" s="76"/>
      <c r="C156" s="17"/>
      <c r="D156" s="17"/>
      <c r="E156" s="56" t="s">
        <v>466</v>
      </c>
      <c r="F156" s="104" t="s">
        <v>703</v>
      </c>
      <c r="G156" s="161"/>
      <c r="H156" s="161"/>
      <c r="I156" s="161"/>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87"/>
      <c r="AP156" s="25"/>
    </row>
    <row r="157" spans="1:42" ht="15" customHeight="1" x14ac:dyDescent="0.25">
      <c r="A157" s="17"/>
      <c r="B157" s="76"/>
      <c r="C157" s="17"/>
      <c r="D157" s="17"/>
      <c r="E157" s="56"/>
      <c r="F157" s="122"/>
      <c r="G157" s="161"/>
      <c r="H157" s="161"/>
      <c r="I157" s="161"/>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87"/>
      <c r="AP157" s="25"/>
    </row>
    <row r="158" spans="1:42" ht="15.6" x14ac:dyDescent="0.35">
      <c r="A158" s="17"/>
      <c r="B158" s="196" t="s">
        <v>18</v>
      </c>
      <c r="C158" s="27" t="s">
        <v>90</v>
      </c>
      <c r="D158" s="20"/>
      <c r="E158" s="27"/>
      <c r="F158" s="109"/>
      <c r="G158" s="18"/>
      <c r="H158" s="18"/>
      <c r="I158" s="18"/>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87"/>
      <c r="AP158" s="25"/>
    </row>
    <row r="159" spans="1:42" x14ac:dyDescent="0.25">
      <c r="A159" s="17"/>
      <c r="B159" s="76"/>
      <c r="C159" s="27" t="s">
        <v>110</v>
      </c>
      <c r="D159" s="17"/>
      <c r="E159" s="27"/>
      <c r="F159" s="17"/>
      <c r="G159" s="18"/>
      <c r="H159" s="18"/>
      <c r="I159" s="18"/>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87"/>
    </row>
    <row r="160" spans="1:42" x14ac:dyDescent="0.25">
      <c r="A160" s="17"/>
      <c r="B160" s="76"/>
      <c r="C160" s="27" t="s">
        <v>645</v>
      </c>
      <c r="D160" s="17"/>
      <c r="E160" s="27"/>
      <c r="F160" s="17"/>
      <c r="G160" s="18"/>
      <c r="H160" s="18"/>
      <c r="I160" s="18"/>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87"/>
    </row>
    <row r="161" spans="1:41" ht="13.8" thickBot="1" x14ac:dyDescent="0.3">
      <c r="A161" s="17"/>
      <c r="B161" s="77"/>
      <c r="C161" s="78"/>
      <c r="D161" s="78"/>
      <c r="E161" s="110"/>
      <c r="F161" s="78"/>
      <c r="G161" s="162"/>
      <c r="H161" s="162"/>
      <c r="I161" s="162"/>
      <c r="J161" s="78"/>
      <c r="K161" s="78"/>
      <c r="L161" s="78"/>
      <c r="M161" s="78"/>
      <c r="N161" s="78"/>
      <c r="O161" s="78"/>
      <c r="P161" s="78"/>
      <c r="Q161" s="78"/>
      <c r="R161" s="78"/>
      <c r="S161" s="78"/>
      <c r="T161" s="78"/>
      <c r="U161" s="78"/>
      <c r="V161" s="78"/>
      <c r="W161" s="78"/>
      <c r="X161" s="78"/>
      <c r="Y161" s="78"/>
      <c r="Z161" s="78"/>
      <c r="AA161" s="78"/>
      <c r="AB161" s="78"/>
      <c r="AC161" s="78"/>
      <c r="AD161" s="78"/>
      <c r="AE161" s="78"/>
      <c r="AF161" s="78"/>
      <c r="AG161" s="78"/>
      <c r="AH161" s="78"/>
      <c r="AI161" s="78"/>
      <c r="AJ161" s="78"/>
      <c r="AK161" s="78"/>
      <c r="AL161" s="78"/>
      <c r="AM161" s="78"/>
      <c r="AN161" s="78"/>
      <c r="AO161" s="91"/>
    </row>
    <row r="162" spans="1:41" x14ac:dyDescent="0.25">
      <c r="A162" s="17"/>
      <c r="B162" s="17"/>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row>
    <row r="163" spans="1:41" ht="13.8" x14ac:dyDescent="0.25">
      <c r="A163" s="17"/>
      <c r="B163" s="34"/>
      <c r="C163" s="17"/>
      <c r="D163" s="17"/>
      <c r="E163" s="17"/>
      <c r="F163" s="28"/>
      <c r="G163" s="98"/>
      <c r="H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row>
    <row r="164" spans="1:41" x14ac:dyDescent="0.25">
      <c r="A164" s="17"/>
      <c r="B164" s="17"/>
      <c r="C164" s="17"/>
      <c r="D164" s="17"/>
      <c r="E164" s="17"/>
      <c r="F164" s="28"/>
      <c r="G164" s="9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row>
    <row r="165" spans="1:41" x14ac:dyDescent="0.25">
      <c r="A165" s="17"/>
      <c r="B165" s="17"/>
      <c r="C165" s="17"/>
      <c r="D165" s="17"/>
      <c r="E165" s="17"/>
      <c r="F165" s="28"/>
      <c r="G165" s="9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row>
    <row r="166" spans="1:41" x14ac:dyDescent="0.25">
      <c r="A166" s="17"/>
      <c r="B166" s="17"/>
      <c r="C166" s="17"/>
      <c r="D166" s="17"/>
      <c r="E166" s="17"/>
      <c r="F166" s="28"/>
      <c r="G166" s="9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row>
    <row r="167" spans="1:41" x14ac:dyDescent="0.25">
      <c r="A167" s="17"/>
      <c r="B167" s="17"/>
      <c r="C167" s="17"/>
      <c r="D167" s="17"/>
      <c r="E167" s="17"/>
      <c r="F167" s="28"/>
      <c r="G167" s="98"/>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row>
    <row r="168" spans="1:41" x14ac:dyDescent="0.25">
      <c r="A168" s="17"/>
      <c r="B168" s="17"/>
      <c r="C168" s="17"/>
      <c r="D168" s="17"/>
      <c r="E168" s="17"/>
      <c r="F168" s="28"/>
      <c r="G168" s="98"/>
      <c r="H168" s="28"/>
      <c r="I168" s="28"/>
      <c r="J168" s="28"/>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row>
    <row r="169" spans="1:41" x14ac:dyDescent="0.25">
      <c r="A169" s="17"/>
      <c r="B169" s="17"/>
      <c r="C169" s="17"/>
      <c r="D169" s="17"/>
      <c r="E169" s="17"/>
      <c r="F169" s="28"/>
      <c r="G169" s="98"/>
      <c r="H169" s="28"/>
      <c r="I169" s="28"/>
      <c r="J169" s="28"/>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row>
    <row r="170" spans="1:41" x14ac:dyDescent="0.25">
      <c r="A170" s="17"/>
      <c r="B170" s="17"/>
      <c r="C170" s="17"/>
      <c r="D170" s="17"/>
      <c r="E170" s="17"/>
      <c r="F170" s="28"/>
      <c r="G170" s="98"/>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row>
    <row r="171" spans="1:41" x14ac:dyDescent="0.25">
      <c r="A171" s="17"/>
      <c r="B171" s="17"/>
      <c r="C171" s="17"/>
      <c r="D171" s="17"/>
      <c r="E171" s="17"/>
      <c r="F171" s="17"/>
      <c r="G171" s="18"/>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row>
    <row r="172" spans="1:41" x14ac:dyDescent="0.25">
      <c r="A172" s="17"/>
      <c r="B172" s="17"/>
      <c r="C172" s="17"/>
      <c r="D172" s="17"/>
      <c r="E172" s="17"/>
      <c r="F172" s="28"/>
      <c r="G172" s="98"/>
      <c r="H172" s="28"/>
      <c r="I172" s="28"/>
      <c r="J172" s="28"/>
      <c r="K172" s="28"/>
      <c r="L172" s="28"/>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row>
    <row r="173" spans="1:41" x14ac:dyDescent="0.25">
      <c r="A173" s="17"/>
      <c r="B173" s="17"/>
      <c r="C173" s="17"/>
      <c r="D173" s="17"/>
      <c r="E173" s="17"/>
      <c r="F173" s="28"/>
      <c r="G173" s="98"/>
      <c r="H173" s="28"/>
      <c r="I173" s="28"/>
      <c r="J173" s="28"/>
      <c r="K173" s="28"/>
      <c r="L173" s="28"/>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row>
    <row r="174" spans="1:41" x14ac:dyDescent="0.25">
      <c r="A174" s="17"/>
      <c r="B174" s="17"/>
      <c r="C174" s="17"/>
      <c r="D174" s="17"/>
      <c r="E174" s="17"/>
      <c r="F174" s="28"/>
      <c r="G174" s="98"/>
      <c r="H174" s="28"/>
      <c r="I174" s="28"/>
      <c r="J174" s="28"/>
      <c r="K174" s="28"/>
      <c r="L174" s="28"/>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row>
    <row r="175" spans="1:41" x14ac:dyDescent="0.25">
      <c r="A175" s="17"/>
      <c r="B175" s="17"/>
      <c r="C175" s="17"/>
      <c r="D175" s="17"/>
      <c r="E175" s="17"/>
      <c r="F175" s="28"/>
      <c r="G175" s="98"/>
      <c r="H175" s="28"/>
      <c r="I175" s="28"/>
      <c r="J175" s="28"/>
      <c r="K175" s="28"/>
      <c r="L175" s="28"/>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row>
    <row r="176" spans="1:41" x14ac:dyDescent="0.25">
      <c r="A176" s="17"/>
      <c r="B176" s="17"/>
      <c r="C176" s="17"/>
      <c r="D176" s="17"/>
      <c r="E176" s="17"/>
      <c r="F176" s="28"/>
      <c r="G176" s="98"/>
      <c r="H176" s="28"/>
      <c r="I176" s="28"/>
      <c r="J176" s="28"/>
      <c r="K176" s="28"/>
      <c r="L176" s="28"/>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row>
    <row r="177" spans="1:39" x14ac:dyDescent="0.25">
      <c r="A177" s="17"/>
      <c r="B177" s="17"/>
      <c r="C177" s="17"/>
      <c r="D177" s="17"/>
      <c r="E177" s="17"/>
      <c r="F177" s="28"/>
      <c r="G177" s="98"/>
      <c r="H177" s="28"/>
      <c r="I177" s="28"/>
      <c r="J177" s="28"/>
      <c r="K177" s="28"/>
      <c r="L177" s="28"/>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row>
    <row r="178" spans="1:39" x14ac:dyDescent="0.25">
      <c r="A178" s="17"/>
      <c r="B178" s="17"/>
      <c r="C178" s="17"/>
      <c r="D178" s="17"/>
      <c r="E178" s="17"/>
      <c r="F178" s="17"/>
      <c r="G178" s="18"/>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row>
    <row r="179" spans="1:39" x14ac:dyDescent="0.25">
      <c r="A179" s="17"/>
      <c r="B179" s="17"/>
      <c r="C179" s="17"/>
      <c r="D179" s="17"/>
      <c r="E179" s="17"/>
      <c r="F179" s="17"/>
      <c r="G179" s="18"/>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row>
    <row r="180" spans="1:39" x14ac:dyDescent="0.25">
      <c r="A180" s="17"/>
      <c r="B180" s="17"/>
      <c r="C180" s="17"/>
      <c r="D180" s="17"/>
      <c r="E180" s="17"/>
      <c r="F180" s="17"/>
      <c r="G180" s="18"/>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row>
    <row r="181" spans="1:39" x14ac:dyDescent="0.25">
      <c r="A181" s="17"/>
      <c r="B181" s="17"/>
      <c r="C181" s="17"/>
      <c r="D181" s="17"/>
      <c r="E181" s="17"/>
      <c r="F181" s="17"/>
      <c r="G181" s="18"/>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row>
    <row r="182" spans="1:39" x14ac:dyDescent="0.25">
      <c r="A182" s="17"/>
      <c r="B182" s="17"/>
      <c r="C182" s="17"/>
      <c r="D182" s="17"/>
      <c r="E182" s="17"/>
      <c r="F182" s="17"/>
      <c r="G182" s="18"/>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row>
    <row r="183" spans="1:39" x14ac:dyDescent="0.25">
      <c r="A183" s="17"/>
      <c r="B183" s="17"/>
      <c r="C183" s="17"/>
      <c r="D183" s="17"/>
      <c r="E183" s="17"/>
      <c r="F183" s="17"/>
      <c r="G183" s="18"/>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row>
    <row r="184" spans="1:39" x14ac:dyDescent="0.25">
      <c r="A184" s="17"/>
      <c r="B184" s="17"/>
      <c r="C184" s="17"/>
      <c r="D184" s="17"/>
      <c r="E184" s="17"/>
      <c r="F184" s="17"/>
      <c r="G184" s="18"/>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row>
    <row r="185" spans="1:39" x14ac:dyDescent="0.25">
      <c r="A185" s="17"/>
      <c r="B185" s="17"/>
      <c r="C185" s="17"/>
      <c r="D185" s="17"/>
      <c r="E185" s="17"/>
      <c r="F185" s="17"/>
      <c r="G185" s="18"/>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row>
    <row r="186" spans="1:39" x14ac:dyDescent="0.25">
      <c r="A186" s="17"/>
      <c r="B186" s="17"/>
      <c r="C186" s="17"/>
      <c r="D186" s="17"/>
      <c r="E186" s="17"/>
      <c r="F186" s="17"/>
      <c r="G186" s="18"/>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row>
    <row r="187" spans="1:39" x14ac:dyDescent="0.25">
      <c r="A187" s="17"/>
      <c r="B187" s="17"/>
      <c r="C187" s="17"/>
      <c r="D187" s="17"/>
      <c r="E187" s="17"/>
      <c r="F187" s="17"/>
      <c r="G187" s="18"/>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row>
    <row r="188" spans="1:39" x14ac:dyDescent="0.25">
      <c r="A188" s="17"/>
      <c r="B188" s="17"/>
      <c r="C188" s="17"/>
      <c r="D188" s="17"/>
      <c r="E188" s="17"/>
      <c r="F188" s="17"/>
      <c r="G188" s="18"/>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row>
    <row r="189" spans="1:39" ht="13.8" x14ac:dyDescent="0.25">
      <c r="A189" s="17"/>
      <c r="B189" s="35"/>
      <c r="C189" s="17"/>
      <c r="D189" s="17"/>
      <c r="E189" s="17"/>
      <c r="F189" s="17"/>
      <c r="G189" s="18"/>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row>
    <row r="190" spans="1:39" x14ac:dyDescent="0.25">
      <c r="A190" s="17"/>
      <c r="B190" s="17"/>
      <c r="C190" s="17"/>
      <c r="D190" s="17"/>
      <c r="E190" s="17"/>
      <c r="F190" s="17"/>
      <c r="G190" s="18"/>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row>
    <row r="191" spans="1:39" x14ac:dyDescent="0.25">
      <c r="A191" s="17"/>
      <c r="B191" s="17"/>
      <c r="C191" s="17"/>
      <c r="D191" s="17"/>
      <c r="E191" s="17"/>
      <c r="F191" s="17"/>
      <c r="G191" s="18"/>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row>
    <row r="192" spans="1:39" x14ac:dyDescent="0.25">
      <c r="A192" s="17"/>
      <c r="B192" s="17"/>
      <c r="C192" s="17"/>
      <c r="D192" s="17"/>
      <c r="E192" s="17"/>
      <c r="F192" s="17"/>
      <c r="G192" s="18"/>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row>
    <row r="193" spans="1:39" x14ac:dyDescent="0.25">
      <c r="A193" s="17"/>
      <c r="B193" s="17"/>
      <c r="C193" s="17"/>
      <c r="D193" s="17"/>
      <c r="E193" s="17"/>
      <c r="F193" s="17"/>
      <c r="G193" s="18"/>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row>
    <row r="194" spans="1:39" x14ac:dyDescent="0.25">
      <c r="A194" s="17"/>
      <c r="B194" s="17"/>
      <c r="D194" s="17"/>
      <c r="E194" s="17"/>
      <c r="F194" s="17"/>
      <c r="G194" s="18"/>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row>
    <row r="195" spans="1:39" x14ac:dyDescent="0.25">
      <c r="A195" s="17"/>
      <c r="B195" s="17"/>
      <c r="C195" s="17"/>
      <c r="D195" s="17"/>
      <c r="E195" s="17"/>
      <c r="F195" s="17"/>
      <c r="G195" s="18"/>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row>
    <row r="196" spans="1:39" x14ac:dyDescent="0.25">
      <c r="A196" s="17"/>
      <c r="B196" s="17"/>
      <c r="C196" s="17"/>
      <c r="D196" s="17"/>
      <c r="E196" s="17"/>
      <c r="F196" s="17"/>
      <c r="G196" s="18"/>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row>
    <row r="197" spans="1:39" x14ac:dyDescent="0.25">
      <c r="A197" s="17"/>
      <c r="B197" s="17"/>
      <c r="C197" s="17"/>
      <c r="D197" s="17"/>
      <c r="E197" s="17"/>
      <c r="F197" s="17"/>
      <c r="G197" s="18"/>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row>
    <row r="198" spans="1:39" x14ac:dyDescent="0.25">
      <c r="A198" s="17"/>
      <c r="B198" s="17"/>
      <c r="C198" s="17"/>
      <c r="D198" s="17"/>
      <c r="E198" s="17"/>
      <c r="F198" s="17"/>
      <c r="G198" s="18"/>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row>
    <row r="199" spans="1:39" x14ac:dyDescent="0.25">
      <c r="A199" s="17"/>
      <c r="B199" s="17"/>
      <c r="C199" s="17"/>
      <c r="D199" s="17"/>
      <c r="E199" s="17"/>
      <c r="F199" s="17"/>
      <c r="G199" s="18"/>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row>
    <row r="200" spans="1:39" x14ac:dyDescent="0.25">
      <c r="A200" s="17"/>
      <c r="B200" s="17"/>
      <c r="C200" s="17"/>
      <c r="D200" s="17"/>
      <c r="E200" s="17"/>
      <c r="F200" s="17"/>
      <c r="G200" s="18"/>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row>
    <row r="201" spans="1:39" x14ac:dyDescent="0.25">
      <c r="A201" s="17"/>
      <c r="B201" s="17"/>
      <c r="C201" s="17"/>
      <c r="D201" s="17"/>
      <c r="E201" s="17"/>
      <c r="F201" s="17"/>
      <c r="G201" s="18"/>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row>
    <row r="202" spans="1:39" x14ac:dyDescent="0.25">
      <c r="A202" s="17"/>
      <c r="B202" s="17"/>
      <c r="C202" s="17"/>
      <c r="D202" s="17"/>
      <c r="E202" s="17"/>
      <c r="F202" s="17"/>
      <c r="G202" s="18"/>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row>
    <row r="203" spans="1:39" x14ac:dyDescent="0.25">
      <c r="A203" s="17"/>
      <c r="B203" s="17"/>
      <c r="C203" s="17"/>
      <c r="D203" s="17"/>
      <c r="E203" s="17"/>
      <c r="F203" s="17"/>
      <c r="G203" s="18"/>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row>
    <row r="204" spans="1:39" x14ac:dyDescent="0.25">
      <c r="A204" s="17"/>
      <c r="B204" s="17"/>
      <c r="C204" s="17"/>
      <c r="D204" s="17"/>
      <c r="E204" s="17"/>
      <c r="F204" s="17"/>
      <c r="G204" s="18"/>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row>
    <row r="205" spans="1:39" x14ac:dyDescent="0.25">
      <c r="A205" s="17"/>
      <c r="B205" s="17"/>
      <c r="C205" s="17"/>
      <c r="D205" s="17"/>
      <c r="E205" s="17"/>
      <c r="F205" s="17"/>
      <c r="G205" s="18"/>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row>
    <row r="206" spans="1:39" x14ac:dyDescent="0.25">
      <c r="A206" s="17"/>
      <c r="B206" s="17"/>
      <c r="C206" s="17"/>
      <c r="D206" s="17"/>
      <c r="E206" s="17"/>
      <c r="F206" s="17"/>
      <c r="G206" s="18"/>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row>
    <row r="207" spans="1:39" x14ac:dyDescent="0.25">
      <c r="A207" s="17"/>
      <c r="B207" s="17"/>
      <c r="C207" s="17"/>
      <c r="D207" s="17"/>
      <c r="E207" s="17"/>
      <c r="F207" s="17"/>
      <c r="G207" s="18"/>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row>
    <row r="208" spans="1:39" x14ac:dyDescent="0.25">
      <c r="A208" s="17"/>
      <c r="B208" s="17"/>
      <c r="C208" s="17"/>
      <c r="D208" s="17"/>
      <c r="E208" s="17"/>
      <c r="F208" s="17"/>
      <c r="G208" s="18"/>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row>
    <row r="209" spans="1:39" x14ac:dyDescent="0.25">
      <c r="A209" s="17"/>
      <c r="B209" s="17"/>
      <c r="C209" s="17"/>
      <c r="D209" s="17"/>
      <c r="E209" s="17"/>
      <c r="F209" s="17"/>
      <c r="G209" s="18"/>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row>
    <row r="210" spans="1:39" x14ac:dyDescent="0.25">
      <c r="A210" s="17"/>
      <c r="B210" s="17"/>
      <c r="C210" s="17"/>
      <c r="D210" s="17"/>
      <c r="E210" s="17"/>
      <c r="F210" s="17"/>
      <c r="G210" s="18"/>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row>
    <row r="211" spans="1:39" x14ac:dyDescent="0.25">
      <c r="A211" s="17"/>
      <c r="B211" s="17"/>
      <c r="C211" s="17"/>
      <c r="D211" s="17"/>
      <c r="E211" s="17"/>
      <c r="F211" s="17"/>
      <c r="G211" s="18"/>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row>
    <row r="212" spans="1:39" x14ac:dyDescent="0.25">
      <c r="A212" s="17"/>
      <c r="B212" s="17"/>
      <c r="C212" s="17"/>
      <c r="D212" s="17"/>
      <c r="E212" s="17"/>
      <c r="F212" s="17"/>
      <c r="G212" s="18"/>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row>
    <row r="213" spans="1:39" x14ac:dyDescent="0.25">
      <c r="A213" s="17"/>
      <c r="B213" s="17"/>
      <c r="C213" s="17"/>
      <c r="D213" s="17"/>
      <c r="E213" s="17"/>
      <c r="F213" s="17"/>
      <c r="G213" s="18"/>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row>
    <row r="214" spans="1:39" x14ac:dyDescent="0.25">
      <c r="A214" s="17"/>
      <c r="B214" s="17"/>
      <c r="C214" s="17"/>
      <c r="D214" s="17"/>
      <c r="E214" s="17"/>
      <c r="F214" s="17"/>
      <c r="G214" s="18"/>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row>
    <row r="215" spans="1:39" x14ac:dyDescent="0.25">
      <c r="A215" s="17"/>
      <c r="B215" s="17"/>
      <c r="C215" s="17"/>
      <c r="D215" s="17"/>
      <c r="E215" s="17"/>
      <c r="F215" s="17"/>
      <c r="G215" s="18"/>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row>
    <row r="216" spans="1:39" x14ac:dyDescent="0.25">
      <c r="A216" s="17"/>
      <c r="B216" s="17"/>
      <c r="C216" s="17"/>
      <c r="D216" s="17"/>
      <c r="E216" s="17"/>
      <c r="F216" s="17"/>
      <c r="G216" s="18"/>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row>
    <row r="217" spans="1:39" x14ac:dyDescent="0.25">
      <c r="A217" s="17"/>
      <c r="B217" s="17"/>
      <c r="C217" s="17"/>
      <c r="D217" s="17"/>
      <c r="E217" s="17"/>
      <c r="F217" s="17"/>
      <c r="G217" s="18"/>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row>
    <row r="218" spans="1:39" x14ac:dyDescent="0.25">
      <c r="A218" s="17"/>
      <c r="B218" s="17"/>
      <c r="C218" s="17"/>
      <c r="D218" s="17"/>
      <c r="E218" s="17"/>
      <c r="F218" s="17"/>
      <c r="G218" s="18"/>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row>
    <row r="219" spans="1:39" x14ac:dyDescent="0.25">
      <c r="A219" s="17"/>
      <c r="B219" s="17"/>
      <c r="C219" s="17"/>
      <c r="D219" s="17"/>
      <c r="E219" s="17"/>
      <c r="F219" s="17"/>
      <c r="G219" s="18"/>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row>
    <row r="220" spans="1:39" x14ac:dyDescent="0.25">
      <c r="A220" s="17"/>
      <c r="B220" s="17"/>
      <c r="C220" s="17"/>
      <c r="D220" s="17"/>
      <c r="E220" s="17"/>
      <c r="F220" s="17"/>
      <c r="G220" s="18"/>
      <c r="H220" s="17"/>
      <c r="I220" s="17"/>
      <c r="J220" s="17"/>
      <c r="K220" s="17"/>
      <c r="L220" s="17"/>
      <c r="M220" s="17"/>
      <c r="N220" s="17"/>
      <c r="O220" s="17"/>
      <c r="P220" s="17"/>
      <c r="Q220" s="17"/>
      <c r="R220" s="17"/>
      <c r="S220" s="17"/>
      <c r="T220" s="17"/>
      <c r="U220" s="17"/>
      <c r="V220" s="17"/>
      <c r="W220" s="17"/>
      <c r="X220" s="17"/>
      <c r="Y220" s="17"/>
      <c r="Z220" s="17"/>
      <c r="AA220" s="17"/>
      <c r="AB220" s="17"/>
      <c r="AC220" s="17"/>
      <c r="AD220" s="17"/>
      <c r="AE220" s="17"/>
      <c r="AF220" s="17"/>
      <c r="AG220" s="17"/>
      <c r="AH220" s="17"/>
      <c r="AI220" s="17"/>
      <c r="AJ220" s="17"/>
      <c r="AK220" s="17"/>
      <c r="AL220" s="17"/>
      <c r="AM220" s="17"/>
    </row>
    <row r="221" spans="1:39" x14ac:dyDescent="0.25">
      <c r="A221" s="17"/>
      <c r="B221" s="17"/>
      <c r="C221" s="17"/>
      <c r="D221" s="17"/>
      <c r="E221" s="17"/>
      <c r="F221" s="17"/>
      <c r="G221" s="18"/>
      <c r="H221" s="17"/>
      <c r="I221" s="17"/>
      <c r="J221" s="17"/>
      <c r="K221" s="17"/>
      <c r="L221" s="17"/>
      <c r="M221" s="17"/>
      <c r="N221" s="17"/>
      <c r="O221" s="17"/>
      <c r="P221" s="17"/>
      <c r="Q221" s="17"/>
      <c r="R221" s="17"/>
      <c r="S221" s="17"/>
      <c r="T221" s="17"/>
      <c r="U221" s="17"/>
      <c r="V221" s="17"/>
      <c r="W221" s="17"/>
      <c r="X221" s="17"/>
      <c r="Y221" s="17"/>
      <c r="Z221" s="17"/>
      <c r="AA221" s="17"/>
      <c r="AB221" s="17"/>
      <c r="AC221" s="17"/>
      <c r="AD221" s="17"/>
      <c r="AE221" s="17"/>
      <c r="AF221" s="17"/>
      <c r="AG221" s="17"/>
      <c r="AH221" s="17"/>
      <c r="AI221" s="17"/>
      <c r="AJ221" s="17"/>
      <c r="AK221" s="17"/>
      <c r="AL221" s="17"/>
      <c r="AM221" s="17"/>
    </row>
    <row r="222" spans="1:39" x14ac:dyDescent="0.25">
      <c r="A222" s="17"/>
      <c r="B222" s="17"/>
      <c r="C222" s="17"/>
      <c r="D222" s="17"/>
      <c r="E222" s="17"/>
      <c r="F222" s="17"/>
      <c r="G222" s="18"/>
      <c r="H222" s="17"/>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row>
    <row r="223" spans="1:39" x14ac:dyDescent="0.25">
      <c r="A223" s="17"/>
      <c r="B223" s="17"/>
      <c r="C223" s="17"/>
      <c r="D223" s="17"/>
      <c r="E223" s="17"/>
      <c r="F223" s="17"/>
      <c r="G223" s="18"/>
      <c r="H223" s="17"/>
      <c r="I223" s="17"/>
      <c r="J223" s="17"/>
      <c r="K223" s="17"/>
      <c r="L223" s="17"/>
      <c r="M223" s="17"/>
      <c r="N223" s="17"/>
      <c r="O223" s="17"/>
      <c r="P223" s="17"/>
      <c r="Q223" s="17"/>
      <c r="R223" s="17"/>
      <c r="S223" s="17"/>
      <c r="T223" s="17"/>
      <c r="U223" s="17"/>
      <c r="V223" s="17"/>
      <c r="W223" s="17"/>
      <c r="X223" s="17"/>
      <c r="Y223" s="17"/>
      <c r="Z223" s="17"/>
      <c r="AA223" s="17"/>
      <c r="AB223" s="17"/>
      <c r="AC223" s="17"/>
      <c r="AD223" s="17"/>
      <c r="AE223" s="17"/>
      <c r="AF223" s="17"/>
      <c r="AG223" s="17"/>
      <c r="AH223" s="17"/>
      <c r="AI223" s="17"/>
      <c r="AJ223" s="17"/>
      <c r="AK223" s="17"/>
      <c r="AL223" s="17"/>
      <c r="AM223" s="17"/>
    </row>
    <row r="224" spans="1:39" x14ac:dyDescent="0.25">
      <c r="A224" s="17"/>
      <c r="B224" s="17"/>
      <c r="C224" s="17"/>
      <c r="D224" s="17"/>
      <c r="E224" s="17"/>
      <c r="F224" s="17"/>
      <c r="G224" s="18"/>
      <c r="H224" s="17"/>
      <c r="I224" s="17"/>
      <c r="J224" s="17"/>
      <c r="K224" s="17"/>
      <c r="L224" s="17"/>
      <c r="M224" s="17"/>
      <c r="N224" s="17"/>
      <c r="O224" s="17"/>
      <c r="P224" s="17"/>
      <c r="Q224" s="17"/>
      <c r="R224" s="17"/>
      <c r="S224" s="17"/>
      <c r="T224" s="17"/>
      <c r="U224" s="17"/>
      <c r="V224" s="17"/>
      <c r="W224" s="17"/>
      <c r="X224" s="17"/>
      <c r="Y224" s="17"/>
      <c r="Z224" s="17"/>
      <c r="AA224" s="17"/>
      <c r="AB224" s="17"/>
      <c r="AC224" s="17"/>
      <c r="AD224" s="17"/>
      <c r="AE224" s="17"/>
      <c r="AF224" s="17"/>
      <c r="AG224" s="17"/>
      <c r="AH224" s="17"/>
      <c r="AI224" s="17"/>
      <c r="AJ224" s="17"/>
      <c r="AK224" s="17"/>
      <c r="AL224" s="17"/>
      <c r="AM224" s="17"/>
    </row>
    <row r="225" spans="1:39" x14ac:dyDescent="0.25">
      <c r="A225" s="17"/>
      <c r="B225" s="17"/>
      <c r="C225" s="17"/>
      <c r="D225" s="17"/>
      <c r="E225" s="17"/>
      <c r="F225" s="17"/>
      <c r="G225" s="18"/>
      <c r="H225" s="17"/>
      <c r="I225" s="17"/>
      <c r="J225" s="17"/>
      <c r="K225" s="17"/>
      <c r="L225" s="17"/>
      <c r="M225" s="17"/>
      <c r="N225" s="17"/>
      <c r="O225" s="17"/>
      <c r="P225" s="17"/>
      <c r="Q225" s="17"/>
      <c r="R225" s="17"/>
      <c r="S225" s="17"/>
      <c r="T225" s="17"/>
      <c r="U225" s="17"/>
      <c r="V225" s="17"/>
      <c r="W225" s="17"/>
      <c r="X225" s="17"/>
      <c r="Y225" s="17"/>
      <c r="Z225" s="17"/>
      <c r="AA225" s="17"/>
      <c r="AB225" s="17"/>
      <c r="AC225" s="17"/>
      <c r="AD225" s="17"/>
      <c r="AE225" s="17"/>
      <c r="AF225" s="17"/>
      <c r="AG225" s="17"/>
      <c r="AH225" s="17"/>
      <c r="AI225" s="17"/>
      <c r="AJ225" s="17"/>
      <c r="AK225" s="17"/>
      <c r="AL225" s="17"/>
      <c r="AM225" s="17"/>
    </row>
    <row r="226" spans="1:39" x14ac:dyDescent="0.25">
      <c r="A226" s="17"/>
      <c r="B226" s="17"/>
      <c r="C226" s="17"/>
      <c r="D226" s="17"/>
      <c r="E226" s="17"/>
      <c r="F226" s="17"/>
      <c r="G226" s="18"/>
      <c r="H226" s="17"/>
      <c r="I226" s="17"/>
      <c r="J226" s="17"/>
      <c r="K226" s="17"/>
      <c r="L226" s="17"/>
      <c r="M226" s="17"/>
      <c r="N226" s="17"/>
      <c r="O226" s="17"/>
      <c r="P226" s="17"/>
      <c r="Q226" s="17"/>
      <c r="R226" s="17"/>
      <c r="S226" s="17"/>
      <c r="T226" s="17"/>
      <c r="U226" s="17"/>
      <c r="V226" s="17"/>
      <c r="W226" s="17"/>
      <c r="X226" s="17"/>
      <c r="Y226" s="17"/>
      <c r="Z226" s="17"/>
      <c r="AA226" s="17"/>
      <c r="AB226" s="17"/>
      <c r="AC226" s="17"/>
      <c r="AD226" s="17"/>
      <c r="AE226" s="17"/>
      <c r="AF226" s="17"/>
      <c r="AG226" s="17"/>
      <c r="AH226" s="17"/>
      <c r="AI226" s="17"/>
      <c r="AJ226" s="17"/>
      <c r="AK226" s="17"/>
      <c r="AL226" s="17"/>
      <c r="AM226" s="17"/>
    </row>
    <row r="227" spans="1:39" x14ac:dyDescent="0.25">
      <c r="A227" s="17"/>
      <c r="B227" s="17"/>
      <c r="C227" s="17"/>
      <c r="D227" s="17"/>
      <c r="E227" s="17"/>
      <c r="F227" s="17"/>
      <c r="G227" s="18"/>
      <c r="H227" s="17"/>
      <c r="I227" s="17"/>
      <c r="J227" s="17"/>
      <c r="K227" s="17"/>
      <c r="L227" s="17"/>
      <c r="M227" s="17"/>
      <c r="N227" s="17"/>
      <c r="O227" s="17"/>
      <c r="P227" s="17"/>
      <c r="Q227" s="17"/>
      <c r="R227" s="17"/>
      <c r="S227" s="17"/>
      <c r="T227" s="17"/>
      <c r="U227" s="17"/>
      <c r="V227" s="17"/>
      <c r="W227" s="17"/>
      <c r="X227" s="17"/>
      <c r="Y227" s="17"/>
      <c r="Z227" s="17"/>
      <c r="AA227" s="17"/>
      <c r="AB227" s="17"/>
      <c r="AC227" s="17"/>
      <c r="AD227" s="17"/>
      <c r="AE227" s="17"/>
      <c r="AF227" s="17"/>
      <c r="AG227" s="17"/>
      <c r="AH227" s="17"/>
      <c r="AI227" s="17"/>
      <c r="AJ227" s="17"/>
      <c r="AK227" s="17"/>
      <c r="AL227" s="17"/>
      <c r="AM227" s="17"/>
    </row>
    <row r="228" spans="1:39" x14ac:dyDescent="0.25">
      <c r="A228" s="17"/>
      <c r="B228" s="17"/>
      <c r="C228" s="17"/>
      <c r="D228" s="17"/>
      <c r="E228" s="17"/>
      <c r="F228" s="17"/>
      <c r="G228" s="18"/>
      <c r="H228" s="17"/>
      <c r="I228" s="17"/>
      <c r="J228" s="17"/>
      <c r="K228" s="17"/>
      <c r="L228" s="17"/>
      <c r="M228" s="17"/>
      <c r="N228" s="17"/>
      <c r="O228" s="17"/>
      <c r="P228" s="17"/>
      <c r="Q228" s="17"/>
      <c r="R228" s="17"/>
      <c r="S228" s="17"/>
      <c r="T228" s="17"/>
      <c r="U228" s="17"/>
      <c r="V228" s="17"/>
      <c r="W228" s="17"/>
      <c r="X228" s="17"/>
      <c r="Y228" s="17"/>
      <c r="Z228" s="17"/>
      <c r="AA228" s="17"/>
      <c r="AB228" s="17"/>
      <c r="AC228" s="17"/>
      <c r="AD228" s="17"/>
      <c r="AE228" s="17"/>
      <c r="AF228" s="17"/>
      <c r="AG228" s="17"/>
      <c r="AH228" s="17"/>
      <c r="AI228" s="17"/>
      <c r="AJ228" s="17"/>
      <c r="AK228" s="17"/>
      <c r="AL228" s="17"/>
      <c r="AM228" s="17"/>
    </row>
    <row r="229" spans="1:39" x14ac:dyDescent="0.25">
      <c r="A229" s="17"/>
      <c r="B229" s="17"/>
      <c r="C229" s="17"/>
      <c r="D229" s="17"/>
      <c r="E229" s="17"/>
      <c r="F229" s="17"/>
      <c r="G229" s="18"/>
      <c r="H229" s="17"/>
      <c r="I229" s="17"/>
      <c r="J229" s="17"/>
      <c r="K229" s="17"/>
      <c r="L229" s="17"/>
      <c r="M229" s="17"/>
      <c r="N229" s="17"/>
      <c r="O229" s="17"/>
      <c r="P229" s="17"/>
      <c r="Q229" s="17"/>
      <c r="R229" s="17"/>
      <c r="S229" s="17"/>
      <c r="T229" s="17"/>
      <c r="U229" s="17"/>
      <c r="V229" s="17"/>
      <c r="W229" s="17"/>
      <c r="X229" s="17"/>
      <c r="Y229" s="17"/>
      <c r="Z229" s="17"/>
      <c r="AA229" s="17"/>
      <c r="AB229" s="17"/>
      <c r="AC229" s="17"/>
      <c r="AD229" s="17"/>
      <c r="AE229" s="17"/>
      <c r="AF229" s="17"/>
      <c r="AG229" s="17"/>
      <c r="AH229" s="17"/>
      <c r="AI229" s="17"/>
      <c r="AJ229" s="17"/>
      <c r="AK229" s="17"/>
      <c r="AL229" s="17"/>
      <c r="AM229" s="17"/>
    </row>
    <row r="230" spans="1:39" x14ac:dyDescent="0.25">
      <c r="A230" s="17"/>
      <c r="B230" s="17"/>
      <c r="C230" s="17"/>
      <c r="D230" s="17"/>
      <c r="E230" s="17"/>
      <c r="F230" s="17"/>
      <c r="G230" s="18"/>
      <c r="H230" s="17"/>
      <c r="I230" s="17"/>
      <c r="J230" s="17"/>
      <c r="K230" s="17"/>
      <c r="L230" s="17"/>
      <c r="M230" s="17"/>
      <c r="N230" s="17"/>
      <c r="O230" s="17"/>
      <c r="P230" s="17"/>
      <c r="Q230" s="17"/>
      <c r="R230" s="17"/>
      <c r="S230" s="17"/>
      <c r="T230" s="17"/>
      <c r="U230" s="17"/>
      <c r="V230" s="17"/>
      <c r="W230" s="17"/>
      <c r="X230" s="17"/>
      <c r="Y230" s="17"/>
      <c r="Z230" s="17"/>
      <c r="AA230" s="17"/>
      <c r="AB230" s="17"/>
      <c r="AC230" s="17"/>
      <c r="AD230" s="17"/>
      <c r="AE230" s="17"/>
      <c r="AF230" s="17"/>
      <c r="AG230" s="17"/>
      <c r="AH230" s="17"/>
      <c r="AI230" s="17"/>
      <c r="AJ230" s="17"/>
      <c r="AK230" s="17"/>
      <c r="AL230" s="17"/>
      <c r="AM230" s="17"/>
    </row>
    <row r="231" spans="1:39" x14ac:dyDescent="0.25">
      <c r="A231" s="17"/>
      <c r="B231" s="17"/>
      <c r="C231" s="17"/>
      <c r="D231" s="17"/>
      <c r="E231" s="17"/>
      <c r="F231" s="17"/>
      <c r="G231" s="18"/>
      <c r="H231" s="17"/>
      <c r="I231" s="17"/>
      <c r="J231" s="17"/>
      <c r="K231" s="17"/>
      <c r="L231" s="17"/>
      <c r="M231" s="17"/>
      <c r="N231" s="17"/>
      <c r="O231" s="17"/>
      <c r="P231" s="17"/>
      <c r="Q231" s="17"/>
      <c r="R231" s="17"/>
      <c r="S231" s="17"/>
      <c r="T231" s="17"/>
      <c r="U231" s="17"/>
      <c r="V231" s="17"/>
      <c r="W231" s="17"/>
      <c r="X231" s="17"/>
      <c r="Y231" s="17"/>
      <c r="Z231" s="17"/>
      <c r="AA231" s="17"/>
      <c r="AB231" s="17"/>
      <c r="AC231" s="17"/>
      <c r="AD231" s="17"/>
      <c r="AE231" s="17"/>
      <c r="AF231" s="17"/>
      <c r="AG231" s="17"/>
      <c r="AH231" s="17"/>
      <c r="AI231" s="17"/>
      <c r="AJ231" s="17"/>
      <c r="AK231" s="17"/>
      <c r="AL231" s="17"/>
      <c r="AM231" s="17"/>
    </row>
    <row r="232" spans="1:39" x14ac:dyDescent="0.25">
      <c r="A232" s="17"/>
      <c r="B232" s="17"/>
      <c r="C232" s="17"/>
      <c r="D232" s="17"/>
      <c r="E232" s="17"/>
      <c r="F232" s="17"/>
      <c r="G232" s="18"/>
      <c r="H232" s="17"/>
      <c r="I232" s="17"/>
      <c r="J232" s="17"/>
      <c r="K232" s="17"/>
      <c r="L232" s="17"/>
      <c r="M232" s="17"/>
      <c r="N232" s="17"/>
      <c r="O232" s="17"/>
      <c r="P232" s="17"/>
      <c r="Q232" s="17"/>
      <c r="R232" s="17"/>
      <c r="S232" s="17"/>
      <c r="T232" s="17"/>
      <c r="U232" s="17"/>
      <c r="V232" s="17"/>
      <c r="W232" s="17"/>
      <c r="X232" s="17"/>
      <c r="Y232" s="17"/>
      <c r="Z232" s="17"/>
      <c r="AA232" s="17"/>
      <c r="AB232" s="17"/>
      <c r="AC232" s="17"/>
      <c r="AD232" s="17"/>
      <c r="AE232" s="17"/>
      <c r="AF232" s="17"/>
      <c r="AG232" s="17"/>
      <c r="AH232" s="17"/>
      <c r="AI232" s="17"/>
      <c r="AJ232" s="17"/>
      <c r="AK232" s="17"/>
      <c r="AL232" s="17"/>
      <c r="AM232" s="17"/>
    </row>
    <row r="233" spans="1:39" x14ac:dyDescent="0.25">
      <c r="A233" s="17"/>
      <c r="B233" s="17"/>
      <c r="C233" s="17"/>
      <c r="D233" s="17"/>
      <c r="E233" s="17"/>
      <c r="F233" s="17"/>
      <c r="G233" s="18"/>
      <c r="H233" s="17"/>
      <c r="I233" s="17"/>
      <c r="J233" s="17"/>
      <c r="K233" s="17"/>
      <c r="L233" s="17"/>
      <c r="M233" s="17"/>
      <c r="N233" s="17"/>
      <c r="O233" s="17"/>
      <c r="P233" s="17"/>
      <c r="Q233" s="17"/>
      <c r="R233" s="17"/>
      <c r="S233" s="17"/>
      <c r="T233" s="17"/>
      <c r="U233" s="17"/>
      <c r="V233" s="17"/>
      <c r="W233" s="17"/>
      <c r="X233" s="17"/>
      <c r="Y233" s="17"/>
      <c r="Z233" s="17"/>
      <c r="AA233" s="17"/>
      <c r="AB233" s="17"/>
      <c r="AC233" s="17"/>
      <c r="AD233" s="17"/>
      <c r="AE233" s="17"/>
      <c r="AF233" s="17"/>
      <c r="AG233" s="17"/>
      <c r="AH233" s="17"/>
      <c r="AI233" s="17"/>
      <c r="AJ233" s="17"/>
      <c r="AK233" s="17"/>
      <c r="AL233" s="17"/>
      <c r="AM233" s="17"/>
    </row>
  </sheetData>
  <sheetProtection selectLockedCells="1"/>
  <mergeCells count="28">
    <mergeCell ref="J145:L145"/>
    <mergeCell ref="J146:L146"/>
    <mergeCell ref="J147:L147"/>
    <mergeCell ref="J148:L148"/>
    <mergeCell ref="L45:AN46"/>
    <mergeCell ref="J135:L135"/>
    <mergeCell ref="J141:L141"/>
    <mergeCell ref="J142:L142"/>
    <mergeCell ref="J143:L143"/>
    <mergeCell ref="J144:L144"/>
    <mergeCell ref="J136:L136"/>
    <mergeCell ref="J137:L137"/>
    <mergeCell ref="J138:L138"/>
    <mergeCell ref="J139:L139"/>
    <mergeCell ref="J140:L140"/>
    <mergeCell ref="B88:B95"/>
    <mergeCell ref="B64:B70"/>
    <mergeCell ref="L2:M2"/>
    <mergeCell ref="A1:M1"/>
    <mergeCell ref="K134:N134"/>
    <mergeCell ref="C120:G122"/>
    <mergeCell ref="D16:F17"/>
    <mergeCell ref="K69:AN70"/>
    <mergeCell ref="H24:I26"/>
    <mergeCell ref="H28:I29"/>
    <mergeCell ref="H30:I31"/>
    <mergeCell ref="D12:F13"/>
    <mergeCell ref="B54:B57"/>
  </mergeCells>
  <phoneticPr fontId="5" type="noConversion"/>
  <conditionalFormatting sqref="F103">
    <cfRule type="cellIs" dxfId="113" priority="85" stopIfTrue="1" operator="greaterThanOrEqual">
      <formula>F102</formula>
    </cfRule>
  </conditionalFormatting>
  <conditionalFormatting sqref="G105:H105">
    <cfRule type="expression" dxfId="112" priority="87" stopIfTrue="1">
      <formula>F101="Option A"</formula>
    </cfRule>
  </conditionalFormatting>
  <conditionalFormatting sqref="E105">
    <cfRule type="expression" dxfId="111" priority="88" stopIfTrue="1">
      <formula>F101="Option A"</formula>
    </cfRule>
  </conditionalFormatting>
  <conditionalFormatting sqref="F109">
    <cfRule type="expression" dxfId="110" priority="89" stopIfTrue="1">
      <formula>F101="Option A"</formula>
    </cfRule>
  </conditionalFormatting>
  <conditionalFormatting sqref="E109">
    <cfRule type="expression" dxfId="109" priority="91" stopIfTrue="1">
      <formula>F101="Option A"</formula>
    </cfRule>
  </conditionalFormatting>
  <conditionalFormatting sqref="F35">
    <cfRule type="cellIs" dxfId="108" priority="92" stopIfTrue="1" operator="greaterThan">
      <formula>200</formula>
    </cfRule>
  </conditionalFormatting>
  <conditionalFormatting sqref="D116:F119">
    <cfRule type="cellIs" dxfId="107" priority="94" stopIfTrue="1" operator="notBetween">
      <formula>10</formula>
      <formula>80</formula>
    </cfRule>
  </conditionalFormatting>
  <conditionalFormatting sqref="G109:H109">
    <cfRule type="expression" dxfId="106" priority="82">
      <formula>F101="Option A"</formula>
    </cfRule>
  </conditionalFormatting>
  <conditionalFormatting sqref="G113:H113">
    <cfRule type="expression" dxfId="105" priority="81">
      <formula>F101="Option A"</formula>
    </cfRule>
  </conditionalFormatting>
  <conditionalFormatting sqref="E113">
    <cfRule type="expression" dxfId="104" priority="79">
      <formula>F101="Option A"</formula>
    </cfRule>
  </conditionalFormatting>
  <conditionalFormatting sqref="H65">
    <cfRule type="colorScale" priority="56">
      <colorScale>
        <cfvo type="min"/>
        <cfvo type="formula" val="$AP$58*0.8"/>
        <cfvo type="num" val="$AP$58"/>
        <color theme="0"/>
        <color rgb="FFFFC000"/>
        <color rgb="FFFF0000"/>
      </colorScale>
    </cfRule>
  </conditionalFormatting>
  <conditionalFormatting sqref="F36:F37">
    <cfRule type="cellIs" dxfId="103" priority="53" operator="equal">
      <formula>"NA"</formula>
    </cfRule>
    <cfRule type="cellIs" dxfId="102" priority="59" operator="equal">
      <formula>"""NA"""</formula>
    </cfRule>
  </conditionalFormatting>
  <conditionalFormatting sqref="F80">
    <cfRule type="cellIs" dxfId="101" priority="98" operator="lessThan">
      <formula>0.25</formula>
    </cfRule>
  </conditionalFormatting>
  <conditionalFormatting sqref="F83">
    <cfRule type="cellIs" dxfId="100" priority="49" operator="lessThan">
      <formula>$F$82</formula>
    </cfRule>
  </conditionalFormatting>
  <conditionalFormatting sqref="F85">
    <cfRule type="cellIs" dxfId="99" priority="46" operator="lessThan">
      <formula>1.1</formula>
    </cfRule>
    <cfRule type="cellIs" dxfId="98" priority="47" operator="between">
      <formula>1.1</formula>
      <formula>1.3</formula>
    </cfRule>
  </conditionalFormatting>
  <conditionalFormatting sqref="G89:I89 G91:I96">
    <cfRule type="expression" dxfId="97" priority="44">
      <formula>#REF!="Yes"</formula>
    </cfRule>
  </conditionalFormatting>
  <conditionalFormatting sqref="F89 F92">
    <cfRule type="cellIs" dxfId="96" priority="37" operator="greaterThanOrEqual">
      <formula>$F$87</formula>
    </cfRule>
  </conditionalFormatting>
  <conditionalFormatting sqref="F93 F98">
    <cfRule type="cellIs" dxfId="95" priority="39" operator="lessThan">
      <formula>1.1</formula>
    </cfRule>
  </conditionalFormatting>
  <conditionalFormatting sqref="F52">
    <cfRule type="cellIs" dxfId="94" priority="35" operator="lessThan">
      <formula>$F$48</formula>
    </cfRule>
  </conditionalFormatting>
  <conditionalFormatting sqref="F86">
    <cfRule type="expression" dxfId="93" priority="34">
      <formula>#REF!="Yes"</formula>
    </cfRule>
  </conditionalFormatting>
  <conditionalFormatting sqref="E36:I40">
    <cfRule type="expression" dxfId="92" priority="31" stopIfTrue="1">
      <formula>IF($F$34="No", "TRUE", "FALSE")</formula>
    </cfRule>
  </conditionalFormatting>
  <conditionalFormatting sqref="F41:F43">
    <cfRule type="cellIs" dxfId="91" priority="30" operator="lessThan">
      <formula>$F$22</formula>
    </cfRule>
  </conditionalFormatting>
  <conditionalFormatting sqref="F87:F88">
    <cfRule type="containsText" dxfId="90" priority="29" operator="containsText" text="NA">
      <formula>NOT(ISERROR(SEARCH("NA",F87)))</formula>
    </cfRule>
  </conditionalFormatting>
  <conditionalFormatting sqref="F93">
    <cfRule type="cellIs" dxfId="89" priority="38" operator="between">
      <formula>1.1</formula>
      <formula>1.499999</formula>
    </cfRule>
  </conditionalFormatting>
  <conditionalFormatting sqref="F98">
    <cfRule type="cellIs" dxfId="88" priority="36" operator="between">
      <formula>1.1</formula>
      <formula>1.299999</formula>
    </cfRule>
  </conditionalFormatting>
  <conditionalFormatting sqref="F49">
    <cfRule type="cellIs" dxfId="87" priority="27" operator="lessThan">
      <formula>$F$48</formula>
    </cfRule>
  </conditionalFormatting>
  <conditionalFormatting sqref="B64:B74">
    <cfRule type="expression" dxfId="86" priority="19">
      <formula>#REF!="No"</formula>
    </cfRule>
    <cfRule type="expression" dxfId="85" priority="20">
      <formula>#REF!="No"</formula>
    </cfRule>
  </conditionalFormatting>
  <conditionalFormatting sqref="E30">
    <cfRule type="expression" dxfId="84" priority="18">
      <formula>#REF!="Yes"</formula>
    </cfRule>
  </conditionalFormatting>
  <conditionalFormatting sqref="E31:G31">
    <cfRule type="expression" dxfId="83" priority="17">
      <formula>$F$30="Power limit"</formula>
    </cfRule>
  </conditionalFormatting>
  <conditionalFormatting sqref="I105">
    <cfRule type="expression" dxfId="82" priority="104" stopIfTrue="1">
      <formula>G101="Option A"</formula>
    </cfRule>
  </conditionalFormatting>
  <conditionalFormatting sqref="I109">
    <cfRule type="expression" dxfId="81" priority="106">
      <formula>G101="Option A"</formula>
    </cfRule>
  </conditionalFormatting>
  <conditionalFormatting sqref="I113">
    <cfRule type="expression" dxfId="80" priority="108">
      <formula>G101="Option A"</formula>
    </cfRule>
  </conditionalFormatting>
  <conditionalFormatting sqref="E86:G100">
    <cfRule type="expression" dxfId="79" priority="14">
      <formula>$F$30="Power Limit"</formula>
    </cfRule>
  </conditionalFormatting>
  <conditionalFormatting sqref="E78:G85">
    <cfRule type="expression" dxfId="78" priority="15">
      <formula>$F$30="Soft Start"</formula>
    </cfRule>
  </conditionalFormatting>
  <conditionalFormatting sqref="F105">
    <cfRule type="expression" dxfId="77" priority="13">
      <formula>$F$101="Option A"</formula>
    </cfRule>
  </conditionalFormatting>
  <conditionalFormatting sqref="F113">
    <cfRule type="expression" dxfId="76" priority="12">
      <formula>$F$101="Option A"</formula>
    </cfRule>
  </conditionalFormatting>
  <conditionalFormatting sqref="H28:I29">
    <cfRule type="expression" dxfId="75" priority="11">
      <formula>$F$30="Soft Start"</formula>
    </cfRule>
  </conditionalFormatting>
  <conditionalFormatting sqref="H30:I31 B88">
    <cfRule type="expression" dxfId="74" priority="10">
      <formula>$F$30="Power Limit"</formula>
    </cfRule>
  </conditionalFormatting>
  <conditionalFormatting sqref="F67">
    <cfRule type="expression" dxfId="73" priority="8">
      <formula>AND($F$67&gt;1.1,$F$67&lt;1.3)</formula>
    </cfRule>
    <cfRule type="expression" dxfId="72" priority="9">
      <formula>$F$67&lt;1.1</formula>
    </cfRule>
  </conditionalFormatting>
  <conditionalFormatting sqref="G67">
    <cfRule type="expression" dxfId="71" priority="6">
      <formula>AND($G$67&gt;1.1,$G$67&lt;1.3)</formula>
    </cfRule>
    <cfRule type="expression" dxfId="70" priority="7">
      <formula>$G$67&lt;1.1</formula>
    </cfRule>
  </conditionalFormatting>
  <conditionalFormatting sqref="H67">
    <cfRule type="expression" dxfId="69" priority="4">
      <formula>AND($H$67&gt;1.1,$H$67&lt;1.3)</formula>
    </cfRule>
    <cfRule type="expression" dxfId="68" priority="5">
      <formula>$H$67&lt;1.1</formula>
    </cfRule>
  </conditionalFormatting>
  <conditionalFormatting sqref="F73">
    <cfRule type="expression" dxfId="67" priority="3">
      <formula>$F$30="Power Limit"</formula>
    </cfRule>
  </conditionalFormatting>
  <conditionalFormatting sqref="F72">
    <cfRule type="expression" dxfId="66" priority="2">
      <formula>$F$30="Soft Start"</formula>
    </cfRule>
  </conditionalFormatting>
  <dataValidations disablePrompts="1" xWindow="820" yWindow="376" count="23">
    <dataValidation type="decimal" allowBlank="1" showInputMessage="1" showErrorMessage="1" errorTitle="Lower UVLO Violation" error="The lower UVLO threshold MUST be at least 2.65V, and  less than the upper UVLO threshold. They cannot be equal." sqref="F103" xr:uid="{882C5000-73C2-4E67-A2E7-6E2FD8493925}">
      <formula1>2.65</formula1>
      <formula2>F102</formula2>
    </dataValidation>
    <dataValidation type="decimal" allowBlank="1" showInputMessage="1" showErrorMessage="1" errorTitle="Upper OVLO Threshold Violation" error="The Upper OVLO Threshold must be greater than the upper UVLO threshold, and less than 80V." sqref="F104" xr:uid="{8593CF40-2400-47A0-88E8-4BD666CCEF57}">
      <formula1>F102+0.01</formula1>
      <formula2>80</formula2>
    </dataValidation>
    <dataValidation type="decimal" allowBlank="1" showInputMessage="1" showErrorMessage="1" errorTitle="Lower OVLO Threshold Violation" error="The lower OVLO threshold must be greater than the upper UVLO threshold, and less than the upper OVLO threshold." sqref="F105" xr:uid="{0973681F-40F6-4EAD-8BD2-93A36DC4574D}">
      <formula1>F102+0.01</formula1>
      <formula2>F104</formula2>
    </dataValidation>
    <dataValidation type="decimal" allowBlank="1" showInputMessage="1" showErrorMessage="1" errorTitle="UVLO Threshold Violation" error="The upper UVLO threshold must be no less than 10V, and no greater than 80V." sqref="F102" xr:uid="{E0CDFBA9-068E-4747-8B3F-D29A893F4618}">
      <formula1>10</formula1>
      <formula2>80</formula2>
    </dataValidation>
    <dataValidation type="decimal" allowBlank="1" showInputMessage="1" showErrorMessage="1" errorTitle="Minimum System Voltage Violation" error="Input voltage should be between 10V and 80V." sqref="F20" xr:uid="{B5B680F6-746E-4789-AF82-063D36303892}">
      <formula1>F19</formula1>
      <formula2>F21</formula2>
    </dataValidation>
    <dataValidation type="decimal" operator="greaterThanOrEqual" allowBlank="1" showInputMessage="1" showErrorMessage="1" errorTitle="Load Capacitance Violation" error="A minimum load capacitance of 10 uF is required to help prevent disruptions at turn off." sqref="F23" xr:uid="{82759595-F7CB-415F-A336-09B81A84ECFD}">
      <formula1>10</formula1>
    </dataValidation>
    <dataValidation type="decimal" operator="greaterThan" allowBlank="1" showInputMessage="1" showErrorMessage="1" errorTitle="Maximum Load Current Violation" error="Maximum Load Current must be greater than 0." sqref="F22" xr:uid="{3D7617B9-E9E9-4B06-AA56-9C15BABF0240}">
      <formula1>0</formula1>
    </dataValidation>
    <dataValidation type="list" allowBlank="1" showInputMessage="1" showErrorMessage="1" sqref="F101" xr:uid="{8E520537-4364-4638-90ED-5346031101C5}">
      <formula1>$AP$101:$AP$102</formula1>
    </dataValidation>
    <dataValidation type="list" allowBlank="1" showInputMessage="1" showErrorMessage="1" sqref="F46" xr:uid="{418AD834-4513-4DCA-A3CA-C86CC1719E7A}">
      <formula1>"1.9 x Current Limit,3.9 x Current Limit"</formula1>
    </dataValidation>
    <dataValidation type="list" allowBlank="1" showInputMessage="1" showErrorMessage="1" sqref="F45" xr:uid="{4EED15A1-1F54-4569-8D4B-8A1404F6A4DD}">
      <formula1>"Latch Off,Retry"</formula1>
    </dataValidation>
    <dataValidation type="decimal" operator="greaterThan" allowBlank="1" showInputMessage="1" showErrorMessage="1" sqref="F38 F40" xr:uid="{D9EE24AC-F4E3-426A-8BF8-6F072B57D6EC}">
      <formula1>0</formula1>
    </dataValidation>
    <dataValidation type="custom" errorStyle="information" operator="equal" allowBlank="1" showInputMessage="1" showErrorMessage="1" errorTitle="Resistor Divider" error="When using resistor divider Rs should be set larger than Rs,eff. _x000a__x000a_Otherwise switch to &quot;No resistor divider&quot;" sqref="F36" xr:uid="{DCA3753E-CA0E-4E24-B902-A57246687F91}">
      <formula1>"""NA"""</formula1>
    </dataValidation>
    <dataValidation type="list" allowBlank="1" showInputMessage="1" showErrorMessage="1" sqref="F86" xr:uid="{42CF3107-36C9-4C01-893B-9A7394E2B392}">
      <formula1>$AP$34:$AP$35</formula1>
    </dataValidation>
    <dataValidation type="list" allowBlank="1" showErrorMessage="1" sqref="F34" xr:uid="{4015123D-A539-4208-B371-EF2B81654998}">
      <formula1>"Yes,No"</formula1>
    </dataValidation>
    <dataValidation type="list" allowBlank="1" showInputMessage="1" showErrorMessage="1" sqref="F32" xr:uid="{E42CF87E-CA62-4F51-85FF-D4CD0027271F}">
      <formula1>"26 mV,50 mV"</formula1>
    </dataValidation>
    <dataValidation type="list" allowBlank="1" showInputMessage="1" showErrorMessage="1" sqref="F28" xr:uid="{94A45937-4972-45A3-B7B7-B9B7D54AE7FF}">
      <formula1>"Constant Current,Resistive"</formula1>
    </dataValidation>
    <dataValidation type="decimal" allowBlank="1" showInputMessage="1" showErrorMessage="1" error="Must choose a value less than 10" sqref="F39" xr:uid="{CD8AFC3D-B8FE-472B-ABC1-47D21B0811EB}">
      <formula1>0</formula1>
      <formula2>10</formula2>
    </dataValidation>
    <dataValidation type="decimal" operator="lessThanOrEqual" allowBlank="1" showInputMessage="1" showErrorMessage="1" sqref="F27" xr:uid="{F7DE940C-E76B-4629-84C2-A2D00BAD8A7B}">
      <formula1>F21</formula1>
    </dataValidation>
    <dataValidation allowBlank="1" showInputMessage="1" showErrorMessage="1" errorTitle="Ambient Temperature Violation" error="The Ambient Temperature must be between -40C and 125C" sqref="F31" xr:uid="{2191D1AA-D58A-4DC4-93D0-A3387A20A53D}"/>
    <dataValidation type="decimal" operator="lessThanOrEqual" allowBlank="1" showInputMessage="1" showErrorMessage="1" sqref="F29" xr:uid="{7D88C3E8-5284-4DEF-AF76-B34A667BA747}">
      <formula1>F22</formula1>
    </dataValidation>
    <dataValidation type="list" allowBlank="1" showInputMessage="1" showErrorMessage="1" sqref="F30" xr:uid="{774031AA-8429-4ACE-9378-C7AB1283291C}">
      <formula1>"Soft Start,Power Limit"</formula1>
    </dataValidation>
    <dataValidation type="list" allowBlank="1" showInputMessage="1" showErrorMessage="1" sqref="F75" xr:uid="{58338554-E523-4878-BC4B-997ABD177744}">
      <formula1>$F$54:$H$54</formula1>
    </dataValidation>
    <dataValidation type="list" allowBlank="1" showInputMessage="1" showErrorMessage="1" sqref="F54 G54" xr:uid="{BD979796-510D-47A7-94DF-28B703CC531E}">
      <formula1>$BA$54:$BA$63</formula1>
    </dataValidation>
  </dataValidations>
  <hyperlinks>
    <hyperlink ref="B2" r:id="rId1" xr:uid="{00000000-0004-0000-0100-000000000000}"/>
    <hyperlink ref="D15" r:id="rId2" xr:uid="{00000000-0004-0000-0100-000002000000}"/>
    <hyperlink ref="D16:F17" r:id="rId3" display="*For additional questions not addressed in the instructions, please post on E2E.ti.com" xr:uid="{6EBD2908-B48F-4B1D-A8C7-0CF268AFA720}"/>
  </hyperlinks>
  <pageMargins left="0.17" right="0.17" top="0.55000000000000004" bottom="0.92" header="0.48" footer="0.2"/>
  <pageSetup scale="62" fitToHeight="2" orientation="portrait" r:id="rId4"/>
  <headerFooter alignWithMargins="0"/>
  <drawing r:id="rId5"/>
  <legacyDrawing r:id="rId6"/>
  <tableParts count="2">
    <tablePart r:id="rId7"/>
    <tablePart r:id="rId8"/>
  </tableParts>
  <extLst>
    <ext xmlns:x14="http://schemas.microsoft.com/office/spreadsheetml/2009/9/main" uri="{CCE6A557-97BC-4b89-ADB6-D9C93CAAB3DF}">
      <x14:dataValidations xmlns:xm="http://schemas.microsoft.com/office/excel/2006/main" disablePrompts="1" xWindow="820" yWindow="376" count="4">
        <x14:dataValidation type="decimal" operator="lessThanOrEqual" allowBlank="1" showInputMessage="1" showErrorMessage="1" errorTitle="Maximum System Voltage Violation" error="The maximum system voltage must be no greater than 80V." xr:uid="{58D9A09F-07EA-4902-B3D8-77FCCF9B2F7E}">
          <x14:formula1>
            <xm:f>'Device Parameters'!E5</xm:f>
          </x14:formula1>
          <xm:sqref>F21</xm:sqref>
        </x14:dataValidation>
        <x14:dataValidation type="decimal" allowBlank="1" showInputMessage="1" showErrorMessage="1" errorTitle="Ambient Temperature Violation" error="The Ambient Temperature must be between -40C and 125C" xr:uid="{AA0AAB7F-2B67-40ED-90A3-6561C1A3DEFB}">
          <x14:formula1>
            <xm:f>'Device Parameters'!C4</xm:f>
          </x14:formula1>
          <x14:formula2>
            <xm:f>'Device Parameters'!E4</xm:f>
          </x14:formula2>
          <xm:sqref>F24</xm:sqref>
        </x14:dataValidation>
        <x14:dataValidation type="decimal" operator="greaterThanOrEqual" allowBlank="1" showInputMessage="1" showErrorMessage="1" errorTitle="Minimum System Voltage Violation" error="The minimum system voltage must be at least 10V." xr:uid="{CBDC3E60-F871-4F1D-8DF9-12AF69BBAF9E}">
          <x14:formula1>
            <xm:f>'Device Parameters'!C5</xm:f>
          </x14:formula1>
          <xm:sqref>F19</xm:sqref>
        </x14:dataValidation>
        <x14:dataValidation type="decimal" allowBlank="1" showInputMessage="1" showErrorMessage="1" errorTitle="Ambient Temperature Violation" error="The Ambient Temperature must be between -40C and 125C" xr:uid="{391096F3-9265-47CD-ABBF-B5B34269E6D1}">
          <x14:formula1>
            <xm:f>'Device Parameters'!C4</xm:f>
          </x14:formula1>
          <x14:formula2>
            <xm:f>'Device Parameters'!E4</xm:f>
          </x14:formula2>
          <xm:sqref>F25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2:Q52"/>
  <sheetViews>
    <sheetView workbookViewId="0">
      <selection activeCell="H25" sqref="H25"/>
    </sheetView>
  </sheetViews>
  <sheetFormatPr defaultRowHeight="13.2" x14ac:dyDescent="0.25"/>
  <cols>
    <col min="1" max="1" width="9.44140625" customWidth="1"/>
    <col min="2" max="2" width="24.21875" customWidth="1"/>
    <col min="3" max="3" width="9.21875" customWidth="1"/>
    <col min="12" max="12" width="13.5546875" customWidth="1"/>
  </cols>
  <sheetData>
    <row r="2" spans="1:17" x14ac:dyDescent="0.25">
      <c r="A2" s="25"/>
      <c r="C2" s="25" t="s">
        <v>71</v>
      </c>
      <c r="D2" s="25" t="s">
        <v>72</v>
      </c>
      <c r="E2" s="25" t="s">
        <v>73</v>
      </c>
      <c r="F2" s="25" t="s">
        <v>155</v>
      </c>
    </row>
    <row r="3" spans="1:17" x14ac:dyDescent="0.25">
      <c r="A3" s="21" t="s">
        <v>150</v>
      </c>
      <c r="C3" s="25"/>
      <c r="D3" s="25"/>
      <c r="E3" s="25"/>
    </row>
    <row r="4" spans="1:17" x14ac:dyDescent="0.25">
      <c r="A4" s="21"/>
      <c r="B4" s="25" t="s">
        <v>163</v>
      </c>
      <c r="C4" s="66">
        <v>-40</v>
      </c>
      <c r="D4" s="66"/>
      <c r="E4" s="66">
        <v>125</v>
      </c>
    </row>
    <row r="5" spans="1:17" x14ac:dyDescent="0.25">
      <c r="B5" s="26" t="s">
        <v>151</v>
      </c>
      <c r="C5" s="1">
        <v>10</v>
      </c>
      <c r="D5" s="1"/>
      <c r="E5" s="1">
        <v>80</v>
      </c>
      <c r="F5" s="25" t="s">
        <v>86</v>
      </c>
      <c r="J5" s="2"/>
    </row>
    <row r="6" spans="1:17" ht="16.5" customHeight="1" x14ac:dyDescent="0.25">
      <c r="A6" s="21" t="s">
        <v>128</v>
      </c>
      <c r="B6" s="26"/>
      <c r="C6" s="1"/>
      <c r="D6" s="1"/>
      <c r="E6" s="1"/>
      <c r="J6" s="2"/>
    </row>
    <row r="7" spans="1:17" x14ac:dyDescent="0.25">
      <c r="B7" s="26" t="s">
        <v>153</v>
      </c>
      <c r="C7" s="1">
        <v>23.4</v>
      </c>
      <c r="D7" s="1">
        <v>26</v>
      </c>
      <c r="E7" s="1">
        <v>28.6</v>
      </c>
      <c r="J7" s="2"/>
    </row>
    <row r="8" spans="1:17" x14ac:dyDescent="0.25">
      <c r="B8" s="26" t="s">
        <v>152</v>
      </c>
      <c r="C8" s="1">
        <v>45</v>
      </c>
      <c r="D8" s="1">
        <v>50</v>
      </c>
      <c r="E8" s="1">
        <v>55</v>
      </c>
      <c r="J8" s="26"/>
    </row>
    <row r="9" spans="1:17" x14ac:dyDescent="0.25">
      <c r="B9" s="26" t="s">
        <v>154</v>
      </c>
      <c r="C9" s="1">
        <v>20</v>
      </c>
      <c r="D9" s="1">
        <v>25</v>
      </c>
      <c r="E9" s="1">
        <v>35</v>
      </c>
      <c r="F9" s="25" t="s">
        <v>156</v>
      </c>
      <c r="J9" s="26"/>
    </row>
    <row r="10" spans="1:17" x14ac:dyDescent="0.25">
      <c r="C10" s="1"/>
      <c r="D10" s="1"/>
      <c r="E10" s="1"/>
    </row>
    <row r="11" spans="1:17" x14ac:dyDescent="0.25">
      <c r="A11" s="21" t="s">
        <v>165</v>
      </c>
      <c r="C11" s="1"/>
      <c r="D11" s="1"/>
      <c r="E11" s="1"/>
    </row>
    <row r="12" spans="1:17" x14ac:dyDescent="0.25">
      <c r="B12" s="25" t="s">
        <v>267</v>
      </c>
      <c r="C12" s="1"/>
      <c r="D12" s="1"/>
      <c r="E12" s="1">
        <v>1E-3</v>
      </c>
      <c r="F12" s="25" t="s">
        <v>86</v>
      </c>
    </row>
    <row r="13" spans="1:17" x14ac:dyDescent="0.25">
      <c r="B13" s="25" t="s">
        <v>268</v>
      </c>
      <c r="C13" s="1"/>
      <c r="D13" s="1"/>
      <c r="E13" s="1">
        <v>4.0000000000000001E-3</v>
      </c>
      <c r="F13" s="25" t="s">
        <v>86</v>
      </c>
      <c r="G13" s="25" t="s">
        <v>269</v>
      </c>
    </row>
    <row r="14" spans="1:17" x14ac:dyDescent="0.25">
      <c r="B14" s="25" t="s">
        <v>270</v>
      </c>
      <c r="C14" s="1"/>
      <c r="D14" s="1"/>
      <c r="E14" s="130">
        <f>1/(0.000007)</f>
        <v>142857.14285714287</v>
      </c>
      <c r="F14" s="25"/>
    </row>
    <row r="15" spans="1:17" x14ac:dyDescent="0.25">
      <c r="B15" s="25"/>
      <c r="C15" s="1"/>
      <c r="D15" s="1"/>
      <c r="E15" s="130"/>
      <c r="F15" s="25"/>
    </row>
    <row r="16" spans="1:17" x14ac:dyDescent="0.25">
      <c r="B16" s="25" t="s">
        <v>277</v>
      </c>
      <c r="C16" s="129" t="s">
        <v>271</v>
      </c>
      <c r="D16" s="1"/>
      <c r="E16" s="1"/>
      <c r="F16" s="25"/>
      <c r="I16" s="25" t="s">
        <v>272</v>
      </c>
      <c r="J16" s="25" t="s">
        <v>70</v>
      </c>
      <c r="K16" s="25" t="s">
        <v>273</v>
      </c>
      <c r="L16" s="25" t="s">
        <v>275</v>
      </c>
      <c r="M16" s="25" t="s">
        <v>274</v>
      </c>
      <c r="N16" s="25" t="s">
        <v>276</v>
      </c>
      <c r="P16" s="25" t="s">
        <v>274</v>
      </c>
      <c r="Q16" s="25" t="s">
        <v>273</v>
      </c>
    </row>
    <row r="17" spans="1:17" x14ac:dyDescent="0.25">
      <c r="B17" s="25"/>
      <c r="C17" s="129" t="s">
        <v>427</v>
      </c>
      <c r="D17" s="1"/>
      <c r="E17" s="1"/>
      <c r="F17" s="25"/>
      <c r="J17">
        <v>12</v>
      </c>
      <c r="K17">
        <v>25</v>
      </c>
      <c r="L17">
        <f>0.5</f>
        <v>0.5</v>
      </c>
      <c r="M17" s="132">
        <f>1/(0.001*L17)*(K17*1000/$E$14+J17*$E$12)</f>
        <v>374</v>
      </c>
      <c r="N17" s="131">
        <f>K17*1000/$E$14/J17+$E$12</f>
        <v>1.5583333333333331E-2</v>
      </c>
      <c r="P17">
        <v>82</v>
      </c>
      <c r="Q17">
        <f>E14*(P17*L17*0.001-J17*E12)</f>
        <v>4142.8571428571431</v>
      </c>
    </row>
    <row r="18" spans="1:17" x14ac:dyDescent="0.25">
      <c r="B18" s="25"/>
      <c r="C18" s="129" t="s">
        <v>452</v>
      </c>
      <c r="D18" s="1"/>
      <c r="E18" s="1"/>
      <c r="F18" s="25"/>
      <c r="J18">
        <v>12</v>
      </c>
      <c r="K18">
        <v>5</v>
      </c>
      <c r="L18">
        <f>0.5</f>
        <v>0.5</v>
      </c>
      <c r="M18" s="132">
        <f>1/(0.001*L18)*(K18*1000/$E$14+J18*$E$12)</f>
        <v>94</v>
      </c>
      <c r="N18" s="131">
        <f>K18*1000/$E$14/J18+$E$12*0.001</f>
        <v>2.9176666666666665E-3</v>
      </c>
    </row>
    <row r="19" spans="1:17" x14ac:dyDescent="0.25">
      <c r="B19" s="25" t="s">
        <v>278</v>
      </c>
      <c r="E19" s="1"/>
      <c r="F19" s="25"/>
      <c r="I19" s="25" t="s">
        <v>280</v>
      </c>
      <c r="M19" s="132"/>
      <c r="N19" s="131"/>
    </row>
    <row r="20" spans="1:17" x14ac:dyDescent="0.25">
      <c r="C20" s="1"/>
      <c r="D20" s="1"/>
      <c r="E20" s="1"/>
    </row>
    <row r="21" spans="1:17" x14ac:dyDescent="0.25">
      <c r="A21" s="21" t="s">
        <v>158</v>
      </c>
      <c r="C21" s="1"/>
      <c r="D21" s="1"/>
      <c r="E21" s="1"/>
    </row>
    <row r="22" spans="1:17" x14ac:dyDescent="0.25">
      <c r="B22" s="26" t="s">
        <v>159</v>
      </c>
      <c r="C22" s="1">
        <v>3.74</v>
      </c>
      <c r="D22" s="1">
        <v>3.9</v>
      </c>
      <c r="E22" s="1">
        <v>4.07</v>
      </c>
      <c r="F22" s="25" t="s">
        <v>86</v>
      </c>
    </row>
    <row r="23" spans="1:17" x14ac:dyDescent="0.25">
      <c r="B23" s="26" t="s">
        <v>160</v>
      </c>
      <c r="C23" s="1">
        <v>-5.9</v>
      </c>
      <c r="D23" s="1">
        <v>-4.8</v>
      </c>
      <c r="E23" s="1">
        <v>-3.3</v>
      </c>
      <c r="F23" s="25" t="s">
        <v>156</v>
      </c>
    </row>
    <row r="24" spans="1:17" x14ac:dyDescent="0.25">
      <c r="B24" s="26" t="s">
        <v>366</v>
      </c>
      <c r="C24" s="1"/>
      <c r="D24" s="1"/>
      <c r="E24" s="1"/>
      <c r="F24" s="25"/>
    </row>
    <row r="25" spans="1:17" x14ac:dyDescent="0.25">
      <c r="B25" s="26" t="s">
        <v>161</v>
      </c>
      <c r="C25" s="1">
        <v>90</v>
      </c>
      <c r="D25" s="1">
        <v>75</v>
      </c>
      <c r="E25" s="1">
        <v>60</v>
      </c>
      <c r="F25" s="25" t="s">
        <v>156</v>
      </c>
    </row>
    <row r="26" spans="1:17" x14ac:dyDescent="0.25">
      <c r="B26" s="26" t="s">
        <v>303</v>
      </c>
      <c r="C26" s="1"/>
      <c r="D26" s="1">
        <f>SQRT(0.66^2+ ((120-90)/90)^2+ 0.1^2)</f>
        <v>0.74613076006227697</v>
      </c>
      <c r="E26" s="1"/>
      <c r="F26" s="25"/>
      <c r="G26" s="25" t="s">
        <v>302</v>
      </c>
    </row>
    <row r="27" spans="1:17" x14ac:dyDescent="0.25">
      <c r="B27" s="26" t="s">
        <v>300</v>
      </c>
      <c r="C27" s="1"/>
      <c r="D27" s="1">
        <v>0.5</v>
      </c>
      <c r="E27" s="1"/>
      <c r="F27" s="25"/>
      <c r="G27" s="25" t="s">
        <v>301</v>
      </c>
    </row>
    <row r="28" spans="1:17" x14ac:dyDescent="0.25">
      <c r="B28" s="2"/>
      <c r="C28" s="1"/>
      <c r="D28" s="1"/>
      <c r="E28" s="1"/>
    </row>
    <row r="29" spans="1:17" x14ac:dyDescent="0.25">
      <c r="A29" s="21" t="s">
        <v>192</v>
      </c>
      <c r="B29" s="2"/>
      <c r="C29" s="1"/>
      <c r="D29" s="1"/>
      <c r="E29" s="1"/>
    </row>
    <row r="30" spans="1:17" x14ac:dyDescent="0.25">
      <c r="B30" s="26" t="s">
        <v>196</v>
      </c>
      <c r="C30" s="1">
        <v>7.5</v>
      </c>
      <c r="D30" s="1">
        <v>20</v>
      </c>
      <c r="E30" s="1">
        <v>40</v>
      </c>
    </row>
    <row r="31" spans="1:17" x14ac:dyDescent="0.25">
      <c r="B31" s="2"/>
      <c r="C31" s="1"/>
      <c r="D31" s="1"/>
      <c r="E31" s="1"/>
    </row>
    <row r="32" spans="1:17" x14ac:dyDescent="0.25">
      <c r="A32" s="21" t="s">
        <v>157</v>
      </c>
      <c r="B32" s="2"/>
      <c r="C32" s="363" t="s">
        <v>419</v>
      </c>
      <c r="D32" s="363"/>
      <c r="E32" s="363"/>
      <c r="F32" s="363" t="s">
        <v>420</v>
      </c>
      <c r="G32" s="363"/>
      <c r="H32" s="363"/>
    </row>
    <row r="33" spans="1:8" x14ac:dyDescent="0.25">
      <c r="B33" s="26" t="s">
        <v>421</v>
      </c>
      <c r="C33" s="1">
        <v>38</v>
      </c>
      <c r="D33" s="1">
        <v>48</v>
      </c>
      <c r="E33" s="1">
        <v>58</v>
      </c>
      <c r="F33" s="1">
        <v>76</v>
      </c>
      <c r="G33" s="1">
        <v>96</v>
      </c>
      <c r="H33" s="1">
        <v>116</v>
      </c>
    </row>
    <row r="34" spans="1:8" x14ac:dyDescent="0.25">
      <c r="B34" s="26" t="s">
        <v>422</v>
      </c>
      <c r="C34" s="1">
        <v>1.5</v>
      </c>
      <c r="D34" s="1">
        <v>1.88</v>
      </c>
      <c r="E34" s="1">
        <v>2.2999999999999998</v>
      </c>
      <c r="F34" s="1">
        <v>1.64</v>
      </c>
      <c r="G34" s="1">
        <v>1.94</v>
      </c>
      <c r="H34" s="1">
        <v>2.23</v>
      </c>
    </row>
    <row r="35" spans="1:8" x14ac:dyDescent="0.25">
      <c r="B35" s="26" t="s">
        <v>423</v>
      </c>
      <c r="C35" s="1">
        <v>76</v>
      </c>
      <c r="D35" s="1">
        <v>96</v>
      </c>
      <c r="E35" s="1">
        <v>116</v>
      </c>
      <c r="F35" s="1">
        <v>155</v>
      </c>
      <c r="G35" s="1">
        <v>193</v>
      </c>
      <c r="H35" s="1">
        <v>235</v>
      </c>
    </row>
    <row r="36" spans="1:8" x14ac:dyDescent="0.25">
      <c r="B36" s="26" t="s">
        <v>424</v>
      </c>
      <c r="C36" s="1">
        <v>3.1</v>
      </c>
      <c r="D36" s="1">
        <v>3.75</v>
      </c>
      <c r="E36" s="1">
        <v>4.45</v>
      </c>
      <c r="F36" s="1">
        <v>3.28</v>
      </c>
      <c r="G36" s="1">
        <v>3.87</v>
      </c>
      <c r="H36" s="1">
        <v>4.45</v>
      </c>
    </row>
    <row r="37" spans="1:8" x14ac:dyDescent="0.25">
      <c r="B37" s="2"/>
      <c r="C37" s="1"/>
      <c r="D37" s="1"/>
      <c r="E37" s="1"/>
    </row>
    <row r="38" spans="1:8" x14ac:dyDescent="0.25">
      <c r="A38" s="21" t="s">
        <v>235</v>
      </c>
      <c r="B38" s="2"/>
    </row>
    <row r="39" spans="1:8" x14ac:dyDescent="0.25">
      <c r="B39" s="26" t="s">
        <v>159</v>
      </c>
      <c r="C39">
        <v>3.74</v>
      </c>
      <c r="D39">
        <v>3.9</v>
      </c>
      <c r="E39">
        <v>4.07</v>
      </c>
    </row>
    <row r="40" spans="1:8" x14ac:dyDescent="0.25">
      <c r="B40" s="26" t="s">
        <v>236</v>
      </c>
      <c r="C40">
        <v>1</v>
      </c>
      <c r="D40">
        <v>1.2</v>
      </c>
      <c r="E40">
        <v>1.4</v>
      </c>
    </row>
    <row r="41" spans="1:8" x14ac:dyDescent="0.25">
      <c r="B41" s="26" t="s">
        <v>237</v>
      </c>
      <c r="D41">
        <v>0.3</v>
      </c>
    </row>
    <row r="42" spans="1:8" x14ac:dyDescent="0.25">
      <c r="B42" s="26" t="s">
        <v>238</v>
      </c>
      <c r="D42">
        <v>0.3</v>
      </c>
    </row>
    <row r="43" spans="1:8" x14ac:dyDescent="0.25">
      <c r="B43" s="26" t="s">
        <v>239</v>
      </c>
      <c r="C43">
        <v>3.3</v>
      </c>
      <c r="D43">
        <v>4.8</v>
      </c>
      <c r="E43">
        <v>5.9</v>
      </c>
    </row>
    <row r="44" spans="1:8" x14ac:dyDescent="0.25">
      <c r="B44" s="26" t="s">
        <v>240</v>
      </c>
      <c r="C44">
        <v>0.9</v>
      </c>
      <c r="D44">
        <v>1.5</v>
      </c>
      <c r="E44">
        <v>2.1</v>
      </c>
    </row>
    <row r="45" spans="1:8" x14ac:dyDescent="0.25">
      <c r="B45" s="26" t="s">
        <v>161</v>
      </c>
      <c r="C45">
        <v>60</v>
      </c>
      <c r="D45">
        <v>75</v>
      </c>
      <c r="E45">
        <v>90</v>
      </c>
    </row>
    <row r="46" spans="1:8" x14ac:dyDescent="0.25">
      <c r="B46" s="26" t="s">
        <v>241</v>
      </c>
      <c r="C46">
        <v>1.7</v>
      </c>
      <c r="D46">
        <v>2.8</v>
      </c>
      <c r="E46">
        <v>3.2</v>
      </c>
    </row>
    <row r="48" spans="1:8" x14ac:dyDescent="0.25">
      <c r="A48" s="21" t="s">
        <v>245</v>
      </c>
    </row>
    <row r="49" spans="1:8" x14ac:dyDescent="0.25">
      <c r="B49" s="26" t="s">
        <v>246</v>
      </c>
      <c r="D49">
        <v>100</v>
      </c>
      <c r="E49">
        <v>400</v>
      </c>
      <c r="F49" s="25" t="s">
        <v>166</v>
      </c>
      <c r="G49">
        <v>2</v>
      </c>
      <c r="H49" s="25" t="s">
        <v>247</v>
      </c>
    </row>
    <row r="50" spans="1:8" x14ac:dyDescent="0.25">
      <c r="A50" s="21" t="s">
        <v>248</v>
      </c>
    </row>
    <row r="51" spans="1:8" x14ac:dyDescent="0.25">
      <c r="B51" s="25" t="s">
        <v>249</v>
      </c>
      <c r="C51">
        <v>2.41</v>
      </c>
      <c r="D51">
        <v>2.46</v>
      </c>
      <c r="E51">
        <v>2.52</v>
      </c>
      <c r="F51" s="25" t="s">
        <v>86</v>
      </c>
    </row>
    <row r="52" spans="1:8" x14ac:dyDescent="0.25">
      <c r="B52" s="25" t="s">
        <v>250</v>
      </c>
      <c r="C52">
        <v>15</v>
      </c>
      <c r="D52">
        <v>20</v>
      </c>
      <c r="E52">
        <v>25</v>
      </c>
      <c r="F52" s="25" t="s">
        <v>156</v>
      </c>
    </row>
  </sheetData>
  <mergeCells count="2">
    <mergeCell ref="C32:E32"/>
    <mergeCell ref="F32:H32"/>
  </mergeCells>
  <phoneticPr fontId="58"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Y278"/>
  <sheetViews>
    <sheetView workbookViewId="0">
      <selection activeCell="F126" sqref="F126"/>
    </sheetView>
  </sheetViews>
  <sheetFormatPr defaultRowHeight="13.2" x14ac:dyDescent="0.25"/>
  <cols>
    <col min="6" max="6" width="12.44140625" bestFit="1" customWidth="1"/>
    <col min="8" max="8" width="14" customWidth="1"/>
    <col min="9" max="9" width="12.77734375" customWidth="1"/>
    <col min="10" max="10" width="11.77734375" customWidth="1"/>
  </cols>
  <sheetData>
    <row r="2" spans="1:8" x14ac:dyDescent="0.25">
      <c r="A2" s="21" t="s">
        <v>128</v>
      </c>
    </row>
    <row r="3" spans="1:8" x14ac:dyDescent="0.25">
      <c r="E3" s="2"/>
    </row>
    <row r="4" spans="1:8" x14ac:dyDescent="0.25">
      <c r="D4" t="s">
        <v>203</v>
      </c>
      <c r="E4">
        <f>IF('Design Calculator'!$F$32="26 mV",'Device Parameters'!C7,'Device Parameters'!C8)</f>
        <v>23.4</v>
      </c>
      <c r="F4" s="82" t="s">
        <v>166</v>
      </c>
    </row>
    <row r="5" spans="1:8" x14ac:dyDescent="0.25">
      <c r="D5" t="s">
        <v>202</v>
      </c>
      <c r="E5">
        <f>IF('Design Calculator'!$F$32="26 mV",'Device Parameters'!D7,'Device Parameters'!D8)</f>
        <v>26</v>
      </c>
      <c r="F5" s="82" t="s">
        <v>166</v>
      </c>
    </row>
    <row r="6" spans="1:8" x14ac:dyDescent="0.25">
      <c r="D6" t="s">
        <v>201</v>
      </c>
      <c r="E6">
        <f>IF('Design Calculator'!$F$32="26 mV",'Device Parameters'!E7,'Device Parameters'!E8)</f>
        <v>28.6</v>
      </c>
      <c r="F6" s="82" t="s">
        <v>166</v>
      </c>
    </row>
    <row r="7" spans="1:8" x14ac:dyDescent="0.25">
      <c r="E7" s="2"/>
    </row>
    <row r="8" spans="1:8" x14ac:dyDescent="0.25">
      <c r="A8" s="21"/>
      <c r="E8" s="2"/>
    </row>
    <row r="9" spans="1:8" x14ac:dyDescent="0.25">
      <c r="E9" s="2" t="s">
        <v>0</v>
      </c>
      <c r="F9">
        <f>CLMIN_Threshold/('Design Calculator'!F22*1.01)</f>
        <v>0.46336633663366333</v>
      </c>
    </row>
    <row r="10" spans="1:8" x14ac:dyDescent="0.25">
      <c r="E10" s="26" t="s">
        <v>204</v>
      </c>
      <c r="F10" s="25" t="str">
        <f>IF(Rs&gt;RsMAX,10,"NA")</f>
        <v>NA</v>
      </c>
    </row>
    <row r="11" spans="1:8" x14ac:dyDescent="0.25">
      <c r="E11" s="26" t="s">
        <v>205</v>
      </c>
      <c r="F11" t="str">
        <f>IF(Rs&gt;RsMAX,(((IOUTMAX*Rs)/CLMIN_Threshold)-1)*F10,"NA")</f>
        <v>NA</v>
      </c>
    </row>
    <row r="12" spans="1:8" x14ac:dyDescent="0.25">
      <c r="E12" s="26" t="s">
        <v>206</v>
      </c>
      <c r="F12">
        <f>IF(RsMAX&gt;Rs,Rs,IF('Design Calculator'!F34="Yes",IF(Rs&gt;RsMAX,Rs/(1+RDIV2/RDIV1),Rs),Rs))</f>
        <v>0.1</v>
      </c>
      <c r="H12" s="116"/>
    </row>
    <row r="13" spans="1:8" x14ac:dyDescent="0.25">
      <c r="E13" s="2" t="s">
        <v>1</v>
      </c>
      <c r="F13" s="3">
        <f>CLMIN_Threshold/RsEFF</f>
        <v>233.99999999999997</v>
      </c>
      <c r="G13" s="3"/>
    </row>
    <row r="14" spans="1:8" x14ac:dyDescent="0.25">
      <c r="E14" s="2" t="s">
        <v>2</v>
      </c>
      <c r="F14">
        <f>CLNOM_Threshold/RsEFF</f>
        <v>260</v>
      </c>
    </row>
    <row r="15" spans="1:8" x14ac:dyDescent="0.25">
      <c r="E15" s="2" t="s">
        <v>3</v>
      </c>
      <c r="F15">
        <f>CLMAX_Threshold/RsEFF</f>
        <v>286</v>
      </c>
    </row>
    <row r="16" spans="1:8" x14ac:dyDescent="0.25">
      <c r="E16" s="2" t="s">
        <v>4</v>
      </c>
      <c r="F16">
        <f>F15^2*'Design Calculator'!F35</f>
        <v>8179.6</v>
      </c>
    </row>
    <row r="19" spans="1:13" x14ac:dyDescent="0.25">
      <c r="E19" s="26" t="s">
        <v>473</v>
      </c>
      <c r="F19">
        <f>CLNOM_Threshold*IF('Design Calculator'!F46 = "1.9 x Current Limit", 1.9, 3.9)</f>
        <v>49.4</v>
      </c>
      <c r="G19" s="25" t="s">
        <v>166</v>
      </c>
    </row>
    <row r="20" spans="1:13" ht="16.2" customHeight="1" x14ac:dyDescent="0.25">
      <c r="E20" s="26" t="s">
        <v>474</v>
      </c>
      <c r="F20">
        <f>F19/RsEFF</f>
        <v>493.99999999999994</v>
      </c>
      <c r="G20" s="25" t="s">
        <v>25</v>
      </c>
    </row>
    <row r="21" spans="1:13" x14ac:dyDescent="0.25">
      <c r="E21" s="2"/>
    </row>
    <row r="22" spans="1:13" x14ac:dyDescent="0.25">
      <c r="A22" s="21" t="s">
        <v>147</v>
      </c>
    </row>
    <row r="23" spans="1:13" x14ac:dyDescent="0.25">
      <c r="A23" s="25"/>
      <c r="E23" s="25" t="s">
        <v>148</v>
      </c>
      <c r="F23" s="25" t="s">
        <v>610</v>
      </c>
      <c r="G23" s="25" t="s">
        <v>611</v>
      </c>
      <c r="H23" s="25" t="s">
        <v>612</v>
      </c>
      <c r="J23" s="25" t="s">
        <v>149</v>
      </c>
      <c r="K23" s="25" t="s">
        <v>610</v>
      </c>
      <c r="L23" s="25" t="s">
        <v>611</v>
      </c>
      <c r="M23" s="25" t="s">
        <v>612</v>
      </c>
    </row>
    <row r="24" spans="1:13" x14ac:dyDescent="0.25">
      <c r="A24" s="25"/>
      <c r="E24" s="29" t="s">
        <v>626</v>
      </c>
      <c r="F24" s="57">
        <f ca="1">VINMAX*'Design Calculator'!F57</f>
        <v>28000</v>
      </c>
      <c r="G24" s="57">
        <f ca="1">VINMAX*'Design Calculator'!G57</f>
        <v>28000</v>
      </c>
      <c r="H24" s="57">
        <f>VINMAX*'Design Calculator'!H57</f>
        <v>28000</v>
      </c>
      <c r="I24" s="25" t="s">
        <v>87</v>
      </c>
      <c r="J24" s="25"/>
      <c r="K24">
        <f ca="1">F24*($F$29-TJDC1)/($F$29-25)</f>
        <v>19257.777777777781</v>
      </c>
      <c r="L24">
        <f ca="1">G24*($G$29-TJDC2)/($G$29-25)</f>
        <v>18767.61904761905</v>
      </c>
      <c r="M24">
        <f ca="1">H24*($H$29-TJDC3)/($H$29-25)</f>
        <v>19600</v>
      </c>
    </row>
    <row r="25" spans="1:13" x14ac:dyDescent="0.25">
      <c r="A25" s="25"/>
      <c r="E25" s="29" t="s">
        <v>627</v>
      </c>
      <c r="F25" s="57">
        <f ca="1">VINMAX*'Design Calculator'!F58</f>
        <v>7207.4329513162047</v>
      </c>
      <c r="G25" s="57">
        <f ca="1">VINMAX*'Design Calculator'!G58</f>
        <v>2616.3316939058332</v>
      </c>
      <c r="H25" s="57">
        <f>VINMAX*'Design Calculator'!H58</f>
        <v>7000</v>
      </c>
      <c r="I25" s="25" t="s">
        <v>87</v>
      </c>
      <c r="J25" s="25"/>
      <c r="K25">
        <f ca="1">F25*($F$29-TJDC1)/($F$29-25)</f>
        <v>4957.1122187385899</v>
      </c>
      <c r="L25">
        <f ca="1">G25*($G$29-TJDC2)/($G$29-25)</f>
        <v>1753.6541619084473</v>
      </c>
      <c r="M25">
        <f ca="1">H25*($H$29-TJDC3)/($H$29-25)</f>
        <v>4900</v>
      </c>
    </row>
    <row r="26" spans="1:13" x14ac:dyDescent="0.25">
      <c r="A26" s="25"/>
      <c r="E26" s="29" t="s">
        <v>127</v>
      </c>
      <c r="F26" s="57">
        <f ca="1">VINMAX*'Design Calculator'!F59</f>
        <v>657.4817295964001</v>
      </c>
      <c r="G26" s="57">
        <f ca="1">VINMAX*'Design Calculator'!G59</f>
        <v>349.38836971239618</v>
      </c>
      <c r="H26" s="57">
        <f>VINMAX*'Design Calculator'!H59</f>
        <v>1400</v>
      </c>
      <c r="I26" s="25" t="s">
        <v>87</v>
      </c>
      <c r="J26" s="25"/>
      <c r="K26">
        <f ca="1">F26*($F$29-TJDC1)/($F$29-25)</f>
        <v>452.20132291130187</v>
      </c>
      <c r="L26">
        <f ca="1">G26*($G$29-TJDC2)/($G$29-25)</f>
        <v>234.1852793725333</v>
      </c>
      <c r="M26">
        <f ca="1">H26*($H$29-TJDC3)/($H$29-25)</f>
        <v>980</v>
      </c>
    </row>
    <row r="27" spans="1:13" x14ac:dyDescent="0.25">
      <c r="A27" s="25"/>
      <c r="E27" s="29" t="s">
        <v>629</v>
      </c>
      <c r="F27" s="57">
        <f ca="1">VINMAX*'Design Calculator'!F60</f>
        <v>204.58360619690583</v>
      </c>
      <c r="G27" s="57">
        <f ca="1">VINMAX*'Design Calculator'!G60</f>
        <v>104.2283554198372</v>
      </c>
      <c r="H27" s="57">
        <f>VINMAX*'Design Calculator'!H60</f>
        <v>350</v>
      </c>
      <c r="I27" s="25" t="s">
        <v>87</v>
      </c>
      <c r="J27" s="25"/>
      <c r="K27">
        <f ca="1">F27*($F$29-TJDC1)/($F$29-25)</f>
        <v>140.7080580398719</v>
      </c>
      <c r="L27">
        <f ca="1">G27*($G$29-TJDC2)/($G$29-25)</f>
        <v>69.861359588548027</v>
      </c>
      <c r="M27">
        <f ca="1">H27*($H$29-TJDC3)/($H$29-25)</f>
        <v>245</v>
      </c>
    </row>
    <row r="28" spans="1:13" x14ac:dyDescent="0.25">
      <c r="A28" s="25"/>
      <c r="E28" s="29" t="s">
        <v>628</v>
      </c>
      <c r="F28" s="57">
        <f ca="1">VINMAX*'Design Calculator'!F61</f>
        <v>104.3824708901375</v>
      </c>
      <c r="G28" s="57">
        <f ca="1">VINMAX*'Design Calculator'!G61</f>
        <v>61.158568825017213</v>
      </c>
      <c r="H28" s="57">
        <f>VINMAX*'Design Calculator'!H61</f>
        <v>70</v>
      </c>
      <c r="I28" s="25"/>
      <c r="J28" s="25"/>
      <c r="K28">
        <f ca="1">F28*($F$29-TJDC1)/($F$29-25)</f>
        <v>71.791943867772346</v>
      </c>
      <c r="L28">
        <f ca="1">G28*($G$29-TJDC2)/($G$29-25)</f>
        <v>40.992882900196918</v>
      </c>
      <c r="M28">
        <f ca="1">H28*($H$29-TJDC3)/($H$29-25)</f>
        <v>49</v>
      </c>
    </row>
    <row r="29" spans="1:13" x14ac:dyDescent="0.25">
      <c r="A29" s="25"/>
      <c r="E29" s="29" t="s">
        <v>553</v>
      </c>
      <c r="F29" s="57">
        <f ca="1">'Design Calculator'!F56</f>
        <v>175</v>
      </c>
      <c r="G29" s="57">
        <f ca="1">'Design Calculator'!G56</f>
        <v>175</v>
      </c>
      <c r="H29" s="57">
        <f>'Design Calculator'!H56</f>
        <v>175</v>
      </c>
      <c r="I29" s="25"/>
    </row>
    <row r="30" spans="1:13" x14ac:dyDescent="0.25">
      <c r="A30" s="25"/>
      <c r="E30" s="26"/>
      <c r="F30" s="64"/>
      <c r="G30" s="25"/>
    </row>
    <row r="31" spans="1:13" x14ac:dyDescent="0.25">
      <c r="A31" s="25"/>
      <c r="E31" s="26" t="s">
        <v>167</v>
      </c>
      <c r="F31" s="64">
        <f>VINMAX*'Device Parameters'!E13/RsEFF/0.001</f>
        <v>2800</v>
      </c>
      <c r="G31" s="25" t="s">
        <v>87</v>
      </c>
    </row>
    <row r="32" spans="1:13" x14ac:dyDescent="0.25">
      <c r="A32" s="25"/>
      <c r="E32" s="26" t="s">
        <v>283</v>
      </c>
      <c r="F32" s="64">
        <f>'Design Calculator'!F49</f>
        <v>3000</v>
      </c>
      <c r="G32" s="25" t="s">
        <v>87</v>
      </c>
    </row>
    <row r="33" spans="1:12" x14ac:dyDescent="0.25">
      <c r="A33" s="25"/>
      <c r="E33" s="26" t="s">
        <v>273</v>
      </c>
      <c r="F33">
        <f>'Device Parameters'!E14*(F32*RsEFF*0.001-0.043)/1000</f>
        <v>36.714285714285715</v>
      </c>
      <c r="G33" s="25" t="s">
        <v>284</v>
      </c>
    </row>
    <row r="34" spans="1:12" x14ac:dyDescent="0.25">
      <c r="A34" s="25"/>
      <c r="E34" s="26" t="s">
        <v>286</v>
      </c>
      <c r="F34" s="64">
        <f>RPWR</f>
        <v>47</v>
      </c>
      <c r="G34" s="25" t="s">
        <v>284</v>
      </c>
    </row>
    <row r="35" spans="1:12" x14ac:dyDescent="0.25">
      <c r="A35" s="25"/>
      <c r="E35" s="26" t="s">
        <v>287</v>
      </c>
      <c r="F35" s="64">
        <f>1/RsEFF*1000*(Equations!F34*1000/'Device Parameters'!E14+0.043)</f>
        <v>3719.9999999999995</v>
      </c>
      <c r="G35" s="25" t="s">
        <v>87</v>
      </c>
    </row>
    <row r="36" spans="1:12" x14ac:dyDescent="0.25">
      <c r="A36" s="25"/>
      <c r="E36" s="26"/>
      <c r="G36" s="25"/>
    </row>
    <row r="37" spans="1:12" x14ac:dyDescent="0.25">
      <c r="A37" s="25"/>
      <c r="E37" s="26"/>
      <c r="G37" s="25"/>
    </row>
    <row r="38" spans="1:12" x14ac:dyDescent="0.25">
      <c r="A38" s="25"/>
      <c r="E38" s="26"/>
      <c r="G38" s="25"/>
    </row>
    <row r="39" spans="1:12" x14ac:dyDescent="0.25">
      <c r="E39" s="2" t="s">
        <v>5</v>
      </c>
      <c r="F39" s="3">
        <f>F40*(1-0.24)</f>
        <v>2827.2</v>
      </c>
      <c r="G39" t="s">
        <v>15</v>
      </c>
    </row>
    <row r="40" spans="1:12" x14ac:dyDescent="0.25">
      <c r="E40" s="2" t="s">
        <v>6</v>
      </c>
      <c r="F40" s="3">
        <f>F35</f>
        <v>3719.9999999999995</v>
      </c>
    </row>
    <row r="41" spans="1:12" x14ac:dyDescent="0.25">
      <c r="E41" s="2" t="s">
        <v>7</v>
      </c>
      <c r="F41" s="3">
        <f>F40*(1+0.24)</f>
        <v>4612.7999999999993</v>
      </c>
    </row>
    <row r="42" spans="1:12" x14ac:dyDescent="0.25">
      <c r="E42" s="2"/>
      <c r="F42" s="1"/>
      <c r="H42" s="2"/>
      <c r="I42" s="1"/>
      <c r="K42" s="2"/>
      <c r="L42" s="1"/>
    </row>
    <row r="43" spans="1:12" x14ac:dyDescent="0.25">
      <c r="E43" s="2"/>
      <c r="F43" s="1"/>
      <c r="H43" s="2"/>
      <c r="I43" s="1"/>
      <c r="K43" s="2"/>
      <c r="L43" s="1"/>
    </row>
    <row r="44" spans="1:12" x14ac:dyDescent="0.25">
      <c r="A44" s="21" t="s">
        <v>146</v>
      </c>
    </row>
    <row r="45" spans="1:12" x14ac:dyDescent="0.25">
      <c r="A45" s="21"/>
      <c r="D45" s="364" t="s">
        <v>326</v>
      </c>
      <c r="E45" s="365"/>
      <c r="F45" s="365"/>
      <c r="G45" s="365"/>
    </row>
    <row r="46" spans="1:12" x14ac:dyDescent="0.25">
      <c r="A46" s="21"/>
      <c r="D46" s="180"/>
      <c r="E46" s="172"/>
      <c r="F46" s="66" t="s">
        <v>610</v>
      </c>
      <c r="G46" s="66" t="s">
        <v>611</v>
      </c>
      <c r="H46" s="25" t="s">
        <v>612</v>
      </c>
    </row>
    <row r="47" spans="1:12" x14ac:dyDescent="0.25">
      <c r="A47" s="21"/>
      <c r="E47" s="26" t="s">
        <v>306</v>
      </c>
      <c r="F47" s="3">
        <f>Start_up!M2</f>
        <v>350.00000000000023</v>
      </c>
      <c r="G47" s="3">
        <f>Start_up!M2</f>
        <v>350.00000000000023</v>
      </c>
      <c r="H47" s="3">
        <f>Start_up!M2</f>
        <v>350.00000000000023</v>
      </c>
      <c r="I47" s="25" t="s">
        <v>8</v>
      </c>
    </row>
    <row r="48" spans="1:12" x14ac:dyDescent="0.25">
      <c r="A48" s="21"/>
      <c r="E48" s="26" t="s">
        <v>307</v>
      </c>
      <c r="F48" s="3">
        <f>'Device Parameters'!D27</f>
        <v>0.5</v>
      </c>
      <c r="G48" s="3">
        <f>'Device Parameters'!D27</f>
        <v>0.5</v>
      </c>
      <c r="H48" s="3">
        <f>'Device Parameters'!D27</f>
        <v>0.5</v>
      </c>
    </row>
    <row r="49" spans="1:9" x14ac:dyDescent="0.25">
      <c r="A49" s="21"/>
      <c r="E49" s="26" t="s">
        <v>308</v>
      </c>
      <c r="F49">
        <f>F47*(1+F48)</f>
        <v>525.00000000000034</v>
      </c>
      <c r="G49">
        <f t="shared" ref="G49:H49" si="0">G47*(1+G48)</f>
        <v>525.00000000000034</v>
      </c>
      <c r="H49">
        <f t="shared" si="0"/>
        <v>525.00000000000034</v>
      </c>
      <c r="I49" s="25" t="s">
        <v>8</v>
      </c>
    </row>
    <row r="50" spans="1:9" x14ac:dyDescent="0.25">
      <c r="A50" s="21"/>
      <c r="E50" s="26" t="s">
        <v>309</v>
      </c>
      <c r="F50">
        <f>'Device Parameters'!D25/'Device Parameters'!D22*F49</f>
        <v>10096.153846153853</v>
      </c>
      <c r="G50">
        <f>'Device Parameters'!D25/'Device Parameters'!D22*G49</f>
        <v>10096.153846153853</v>
      </c>
      <c r="H50">
        <f>'Device Parameters'!D25/'Device Parameters'!D22*H49</f>
        <v>10096.153846153853</v>
      </c>
      <c r="I50" s="25" t="s">
        <v>120</v>
      </c>
    </row>
    <row r="51" spans="1:9" x14ac:dyDescent="0.25">
      <c r="A51" s="21"/>
      <c r="E51" s="26" t="s">
        <v>310</v>
      </c>
      <c r="F51" s="3">
        <f>'Design Calculator'!F83</f>
        <v>100</v>
      </c>
      <c r="G51" s="3">
        <f>'Design Calculator'!F83</f>
        <v>100</v>
      </c>
      <c r="H51" s="3">
        <f>'Design Calculator'!F83</f>
        <v>100</v>
      </c>
      <c r="I51" s="25" t="s">
        <v>120</v>
      </c>
    </row>
    <row r="52" spans="1:9" x14ac:dyDescent="0.25">
      <c r="A52" s="21"/>
      <c r="E52" s="26" t="s">
        <v>313</v>
      </c>
      <c r="F52">
        <f>'Device Parameters'!D22/'Device Parameters'!D25*F51</f>
        <v>5.2</v>
      </c>
      <c r="G52">
        <f>'Device Parameters'!D22/'Device Parameters'!D25*G51</f>
        <v>5.2</v>
      </c>
      <c r="H52">
        <f>'Device Parameters'!D22/'Device Parameters'!D25*H51</f>
        <v>5.2</v>
      </c>
      <c r="I52" s="25" t="s">
        <v>8</v>
      </c>
    </row>
    <row r="53" spans="1:9" x14ac:dyDescent="0.25">
      <c r="A53" s="21"/>
      <c r="E53" s="26" t="s">
        <v>321</v>
      </c>
      <c r="F53">
        <f ca="1">SOA!C28/F40</f>
        <v>0.52613908564658973</v>
      </c>
      <c r="G53">
        <f ca="1">SOA!C76/F40</f>
        <v>0.21579997519897098</v>
      </c>
      <c r="H53">
        <f ca="1">SOA!C124/F40</f>
        <v>0.70531324843075882</v>
      </c>
      <c r="I53" s="25"/>
    </row>
    <row r="54" spans="1:9" x14ac:dyDescent="0.25">
      <c r="A54" s="21"/>
      <c r="D54" s="364" t="s">
        <v>330</v>
      </c>
      <c r="E54" s="365"/>
      <c r="F54" s="365"/>
      <c r="G54" s="365"/>
    </row>
    <row r="55" spans="1:9" x14ac:dyDescent="0.25">
      <c r="A55" s="21"/>
      <c r="D55" s="180"/>
      <c r="E55" s="172"/>
      <c r="F55" s="66" t="s">
        <v>610</v>
      </c>
      <c r="G55" s="66" t="s">
        <v>611</v>
      </c>
      <c r="H55" s="25" t="s">
        <v>612</v>
      </c>
    </row>
    <row r="56" spans="1:9" x14ac:dyDescent="0.25">
      <c r="A56" s="21"/>
      <c r="C56" s="25"/>
      <c r="D56" s="179"/>
      <c r="E56" s="26" t="s">
        <v>327</v>
      </c>
      <c r="F56" s="66">
        <f>'Design Calculator'!F89</f>
        <v>0.2</v>
      </c>
      <c r="G56" s="1">
        <f>'Design Calculator'!F89</f>
        <v>0.2</v>
      </c>
      <c r="H56" s="1">
        <f>'Design Calculator'!F89</f>
        <v>0.2</v>
      </c>
      <c r="I56" s="66" t="s">
        <v>328</v>
      </c>
    </row>
    <row r="57" spans="1:9" x14ac:dyDescent="0.25">
      <c r="A57" s="21"/>
      <c r="C57" s="25"/>
      <c r="D57" s="179"/>
      <c r="E57" s="26" t="s">
        <v>351</v>
      </c>
      <c r="F57" s="1">
        <f>'Device Parameters'!D30/ss_rate</f>
        <v>100</v>
      </c>
      <c r="G57" s="1">
        <f>'Device Parameters'!D30/G56</f>
        <v>100</v>
      </c>
      <c r="H57" s="1">
        <f>'Device Parameters'!D30/H56</f>
        <v>100</v>
      </c>
      <c r="I57" s="66" t="s">
        <v>120</v>
      </c>
    </row>
    <row r="58" spans="1:9" x14ac:dyDescent="0.25">
      <c r="A58" s="21"/>
      <c r="C58" s="25"/>
      <c r="D58" s="179"/>
      <c r="E58" s="26" t="s">
        <v>352</v>
      </c>
      <c r="F58" s="66">
        <f>'Design Calculator'!F91</f>
        <v>100</v>
      </c>
      <c r="G58" s="1">
        <f>'Design Calculator'!F91</f>
        <v>100</v>
      </c>
      <c r="H58" s="1">
        <f>'Design Calculator'!F91</f>
        <v>100</v>
      </c>
      <c r="I58" s="66" t="s">
        <v>120</v>
      </c>
    </row>
    <row r="59" spans="1:9" x14ac:dyDescent="0.25">
      <c r="A59" s="21"/>
      <c r="C59" s="25"/>
      <c r="D59" s="179"/>
      <c r="E59" s="26" t="s">
        <v>353</v>
      </c>
      <c r="F59" s="1">
        <f>ss_rate*F57/F58</f>
        <v>0.2</v>
      </c>
      <c r="G59" s="1">
        <f>G56*G57/G58</f>
        <v>0.2</v>
      </c>
      <c r="H59" s="1">
        <f>H56*H57/H58</f>
        <v>0.2</v>
      </c>
      <c r="I59" s="66" t="s">
        <v>328</v>
      </c>
    </row>
    <row r="60" spans="1:9" x14ac:dyDescent="0.25">
      <c r="A60" s="21"/>
      <c r="C60" s="25"/>
      <c r="D60" s="179"/>
      <c r="E60" s="26" t="s">
        <v>329</v>
      </c>
      <c r="F60" s="66">
        <f>COUTMAX*F59/1000</f>
        <v>44</v>
      </c>
      <c r="G60" s="66">
        <f>COUTMAX*G59/1000</f>
        <v>44</v>
      </c>
      <c r="H60" s="66">
        <f>COUTMAX*H59/1000</f>
        <v>44</v>
      </c>
      <c r="I60" s="66" t="s">
        <v>25</v>
      </c>
    </row>
    <row r="61" spans="1:9" x14ac:dyDescent="0.25">
      <c r="A61" s="21"/>
      <c r="C61" s="25"/>
      <c r="D61" s="179"/>
      <c r="E61" s="26" t="s">
        <v>344</v>
      </c>
      <c r="F61" s="66">
        <f>VINMAX/F59</f>
        <v>350</v>
      </c>
      <c r="G61" s="66">
        <f>VINMAX/G59</f>
        <v>350</v>
      </c>
      <c r="H61" s="66">
        <f>VINMAX/H59</f>
        <v>350</v>
      </c>
      <c r="I61" s="66" t="s">
        <v>8</v>
      </c>
    </row>
    <row r="62" spans="1:9" x14ac:dyDescent="0.25">
      <c r="A62" s="21"/>
      <c r="C62" s="25"/>
      <c r="D62" s="179"/>
      <c r="E62" s="26" t="s">
        <v>345</v>
      </c>
      <c r="F62" s="66">
        <f>Start_up!N5</f>
        <v>556.2424186390532</v>
      </c>
      <c r="G62" s="1">
        <f>Start_up!N5</f>
        <v>556.2424186390532</v>
      </c>
      <c r="H62" s="1">
        <f>Start_up!N5</f>
        <v>556.2424186390532</v>
      </c>
      <c r="I62" s="66" t="s">
        <v>334</v>
      </c>
    </row>
    <row r="63" spans="1:9" x14ac:dyDescent="0.25">
      <c r="A63" s="21"/>
      <c r="C63" s="25"/>
      <c r="D63" s="179"/>
      <c r="E63" s="26" t="s">
        <v>346</v>
      </c>
      <c r="F63" s="66">
        <f>Start_up!Q4</f>
        <v>3080</v>
      </c>
      <c r="G63" s="1">
        <f>Start_up!Q4</f>
        <v>3080</v>
      </c>
      <c r="H63" s="1">
        <f>Start_up!Q4</f>
        <v>3080</v>
      </c>
      <c r="I63" s="66" t="s">
        <v>87</v>
      </c>
    </row>
    <row r="64" spans="1:9" x14ac:dyDescent="0.25">
      <c r="A64" s="21"/>
      <c r="D64" s="180"/>
      <c r="E64" s="26" t="s">
        <v>347</v>
      </c>
      <c r="F64" s="66">
        <f>F62/F63*1000</f>
        <v>180.59818786982245</v>
      </c>
      <c r="G64" s="66">
        <f t="shared" ref="G64:H64" si="1">G62/G63*1000</f>
        <v>180.59818786982245</v>
      </c>
      <c r="H64" s="66">
        <f t="shared" si="1"/>
        <v>180.59818786982245</v>
      </c>
      <c r="I64" s="66" t="s">
        <v>8</v>
      </c>
    </row>
    <row r="65" spans="1:9" x14ac:dyDescent="0.25">
      <c r="A65" s="21"/>
      <c r="E65" s="26" t="s">
        <v>348</v>
      </c>
      <c r="F65" s="25">
        <f ca="1">SOA!H30</f>
        <v>365.49598407307678</v>
      </c>
      <c r="G65">
        <f ca="1">SOA!H78</f>
        <v>245.64818757800415</v>
      </c>
      <c r="H65">
        <f>SOA!H126</f>
        <v>271.58165516800688</v>
      </c>
      <c r="I65" s="66" t="s">
        <v>87</v>
      </c>
    </row>
    <row r="66" spans="1:9" x14ac:dyDescent="0.25">
      <c r="A66" s="21"/>
      <c r="E66" s="26" t="s">
        <v>349</v>
      </c>
      <c r="F66" s="25">
        <f ca="1">F65/F63</f>
        <v>0.1186675272964535</v>
      </c>
      <c r="G66" s="25">
        <f t="shared" ref="G66:H66" ca="1" si="2">G65/G63</f>
        <v>7.9755905057793564E-2</v>
      </c>
      <c r="H66" s="25">
        <f t="shared" si="2"/>
        <v>8.8175862067534694E-2</v>
      </c>
      <c r="I66" s="66"/>
    </row>
    <row r="67" spans="1:9" x14ac:dyDescent="0.25">
      <c r="A67" s="21"/>
      <c r="E67" s="26"/>
      <c r="F67" s="25"/>
      <c r="G67" s="25"/>
    </row>
    <row r="68" spans="1:9" x14ac:dyDescent="0.25">
      <c r="A68" s="21"/>
      <c r="E68" s="26"/>
      <c r="F68" s="25">
        <v>1</v>
      </c>
      <c r="G68" s="66" t="s">
        <v>8</v>
      </c>
    </row>
    <row r="69" spans="1:9" x14ac:dyDescent="0.25">
      <c r="A69" s="21"/>
      <c r="D69" s="366" t="s">
        <v>358</v>
      </c>
      <c r="E69" s="366"/>
      <c r="F69" s="366"/>
      <c r="G69" s="366"/>
      <c r="H69" s="366"/>
    </row>
    <row r="70" spans="1:9" x14ac:dyDescent="0.25">
      <c r="A70" s="21"/>
      <c r="D70" s="179"/>
      <c r="E70" s="179"/>
      <c r="F70" s="66" t="s">
        <v>610</v>
      </c>
      <c r="G70" s="66" t="s">
        <v>611</v>
      </c>
      <c r="H70" s="66" t="s">
        <v>612</v>
      </c>
    </row>
    <row r="71" spans="1:9" x14ac:dyDescent="0.25">
      <c r="A71" s="21"/>
      <c r="E71" s="26" t="s">
        <v>354</v>
      </c>
      <c r="F71" s="181">
        <f>'Design Calculator'!F94</f>
        <v>0.01</v>
      </c>
      <c r="G71">
        <f>'Design Calculator'!F94</f>
        <v>0.01</v>
      </c>
      <c r="H71">
        <f>'Design Calculator'!F94</f>
        <v>0.01</v>
      </c>
      <c r="I71" s="25"/>
    </row>
    <row r="72" spans="1:9" x14ac:dyDescent="0.25">
      <c r="A72" s="21"/>
      <c r="E72" s="26" t="s">
        <v>355</v>
      </c>
      <c r="F72" s="25">
        <f>'Device Parameters'!D25/'Device Parameters'!D22*F71</f>
        <v>0.19230769230769229</v>
      </c>
      <c r="G72">
        <f>'Device Parameters'!D25/'Device Parameters'!D22*G71</f>
        <v>0.19230769230769229</v>
      </c>
      <c r="H72">
        <f>'Device Parameters'!D25/'Device Parameters'!D22*H71</f>
        <v>0.19230769230769229</v>
      </c>
      <c r="I72" s="25" t="s">
        <v>120</v>
      </c>
    </row>
    <row r="73" spans="1:9" x14ac:dyDescent="0.25">
      <c r="A73" s="21"/>
      <c r="E73" s="26" t="s">
        <v>356</v>
      </c>
      <c r="F73" s="181">
        <f>'Design Calculator'!F96</f>
        <v>4.7</v>
      </c>
      <c r="G73">
        <f>'Design Calculator'!F96</f>
        <v>4.7</v>
      </c>
      <c r="H73">
        <f>'Design Calculator'!F96</f>
        <v>4.7</v>
      </c>
      <c r="I73" s="25" t="s">
        <v>120</v>
      </c>
    </row>
    <row r="74" spans="1:9" x14ac:dyDescent="0.25">
      <c r="A74" s="21"/>
      <c r="E74" s="26" t="s">
        <v>361</v>
      </c>
      <c r="F74" s="25">
        <f>'Device Parameters'!D22/'Device Parameters'!D25*F73</f>
        <v>0.24440000000000001</v>
      </c>
      <c r="G74">
        <f>'Device Parameters'!D22/'Device Parameters'!D25*G73</f>
        <v>0.24440000000000001</v>
      </c>
      <c r="H74">
        <f>'Device Parameters'!D22/'Device Parameters'!D25*H73</f>
        <v>0.24440000000000001</v>
      </c>
      <c r="I74" s="25" t="s">
        <v>8</v>
      </c>
    </row>
    <row r="75" spans="1:9" x14ac:dyDescent="0.25">
      <c r="A75" s="21"/>
      <c r="E75" s="26" t="s">
        <v>360</v>
      </c>
      <c r="F75" s="25">
        <f ca="1">SOA!C28</f>
        <v>1957.2373986053137</v>
      </c>
      <c r="G75">
        <f ca="1">SOA!C76</f>
        <v>802.77590774017199</v>
      </c>
      <c r="H75">
        <f ca="1">SOA!C124</f>
        <v>2623.7652841624226</v>
      </c>
      <c r="I75" s="25" t="s">
        <v>87</v>
      </c>
    </row>
    <row r="76" spans="1:9" x14ac:dyDescent="0.25">
      <c r="A76" s="21"/>
      <c r="E76" s="26" t="s">
        <v>349</v>
      </c>
      <c r="F76" s="25">
        <f ca="1">F75/F35</f>
        <v>0.52613908564658973</v>
      </c>
      <c r="G76" s="25">
        <f ca="1">G75/F35</f>
        <v>0.21579997519897098</v>
      </c>
      <c r="H76" s="25">
        <f ca="1">H75/F35</f>
        <v>0.70531324843075882</v>
      </c>
      <c r="I76" s="25"/>
    </row>
    <row r="77" spans="1:9" x14ac:dyDescent="0.25">
      <c r="A77" s="21"/>
      <c r="E77" s="26"/>
      <c r="F77" s="25"/>
      <c r="G77" s="25"/>
    </row>
    <row r="78" spans="1:9" x14ac:dyDescent="0.25">
      <c r="A78" s="21"/>
      <c r="E78" s="26"/>
      <c r="F78" s="25"/>
      <c r="G78" s="25"/>
    </row>
    <row r="79" spans="1:9" x14ac:dyDescent="0.25">
      <c r="A79" s="21"/>
      <c r="E79" s="26"/>
      <c r="F79" s="25"/>
      <c r="G79" s="25"/>
    </row>
    <row r="80" spans="1:9" x14ac:dyDescent="0.25">
      <c r="A80" s="21"/>
      <c r="E80" s="26"/>
      <c r="F80" s="25"/>
      <c r="G80" s="25"/>
    </row>
    <row r="81" spans="1:13" x14ac:dyDescent="0.25">
      <c r="A81" s="21"/>
      <c r="E81" s="26"/>
      <c r="F81" s="25"/>
      <c r="G81" s="25"/>
    </row>
    <row r="82" spans="1:13" x14ac:dyDescent="0.25">
      <c r="A82" s="21"/>
      <c r="E82" s="26"/>
      <c r="F82" s="25"/>
      <c r="G82" s="25"/>
    </row>
    <row r="83" spans="1:13" x14ac:dyDescent="0.25">
      <c r="A83" s="21"/>
      <c r="E83" s="26"/>
      <c r="F83" s="25"/>
      <c r="G83" s="25"/>
    </row>
    <row r="84" spans="1:13" x14ac:dyDescent="0.25">
      <c r="A84" s="21"/>
      <c r="E84" s="26"/>
      <c r="F84" s="25"/>
      <c r="G84" s="25"/>
    </row>
    <row r="85" spans="1:13" x14ac:dyDescent="0.25">
      <c r="A85" s="21"/>
      <c r="F85" s="25"/>
    </row>
    <row r="86" spans="1:13" x14ac:dyDescent="0.25">
      <c r="A86" s="25"/>
      <c r="E86" s="26"/>
      <c r="F86" s="25"/>
    </row>
    <row r="87" spans="1:13" x14ac:dyDescent="0.25">
      <c r="A87" s="25"/>
      <c r="E87" s="26"/>
      <c r="F87" s="25"/>
    </row>
    <row r="88" spans="1:13" x14ac:dyDescent="0.25">
      <c r="D88" s="25"/>
      <c r="E88" s="26"/>
      <c r="F88" s="25"/>
    </row>
    <row r="89" spans="1:13" x14ac:dyDescent="0.25">
      <c r="D89" s="25"/>
      <c r="E89" s="26"/>
      <c r="F89" s="25"/>
    </row>
    <row r="90" spans="1:13" x14ac:dyDescent="0.25">
      <c r="D90" s="25"/>
      <c r="E90" s="26"/>
      <c r="F90" s="25"/>
    </row>
    <row r="91" spans="1:13" x14ac:dyDescent="0.25">
      <c r="E91" s="26"/>
      <c r="F91" s="25"/>
      <c r="J91" s="5"/>
      <c r="M91" s="5"/>
    </row>
    <row r="92" spans="1:13" x14ac:dyDescent="0.25">
      <c r="E92" s="26"/>
      <c r="F92" s="25"/>
      <c r="J92" s="5"/>
      <c r="M92" s="5"/>
    </row>
    <row r="93" spans="1:13" x14ac:dyDescent="0.25">
      <c r="E93" s="2"/>
      <c r="F93" s="25"/>
      <c r="G93" t="s">
        <v>16</v>
      </c>
      <c r="J93" s="6"/>
      <c r="M93" s="6"/>
    </row>
    <row r="94" spans="1:13" x14ac:dyDescent="0.25">
      <c r="E94" s="26"/>
      <c r="F94" s="25"/>
      <c r="J94" s="6"/>
      <c r="M94" s="6"/>
    </row>
    <row r="95" spans="1:13" x14ac:dyDescent="0.25">
      <c r="E95" s="2"/>
      <c r="F95" s="25"/>
    </row>
    <row r="96" spans="1:13" x14ac:dyDescent="0.25">
      <c r="E96" s="2"/>
      <c r="F96" s="25"/>
      <c r="I96" t="s">
        <v>27</v>
      </c>
      <c r="L96" t="s">
        <v>50</v>
      </c>
    </row>
    <row r="97" spans="5:12" x14ac:dyDescent="0.25">
      <c r="E97" s="26"/>
      <c r="F97" s="25"/>
      <c r="G97" s="25" t="s">
        <v>25</v>
      </c>
    </row>
    <row r="98" spans="5:12" x14ac:dyDescent="0.25">
      <c r="E98" s="26"/>
      <c r="F98" s="25"/>
      <c r="G98" s="25" t="s">
        <v>195</v>
      </c>
    </row>
    <row r="99" spans="5:12" x14ac:dyDescent="0.25">
      <c r="E99" s="26"/>
      <c r="F99" s="25"/>
      <c r="G99" s="25" t="s">
        <v>120</v>
      </c>
    </row>
    <row r="100" spans="5:12" x14ac:dyDescent="0.25">
      <c r="E100" s="26"/>
      <c r="G100" s="25"/>
    </row>
    <row r="101" spans="5:12" x14ac:dyDescent="0.25">
      <c r="E101" s="26"/>
      <c r="G101" s="25"/>
    </row>
    <row r="102" spans="5:12" x14ac:dyDescent="0.25">
      <c r="E102" s="26" t="s">
        <v>232</v>
      </c>
      <c r="F102" s="3">
        <f>IF('Design Calculator'!F30="Soft Start", Equations!F73, Equations!F51)*'Device Parameters'!C39*1000/'Device Parameters'!E43*0.001</f>
        <v>2.9793220338983057</v>
      </c>
      <c r="G102" s="3">
        <f>IF('Design Calculator'!F30="Soft Start", Equations!G73, Equations!G51)*'Device Parameters'!C39*1000/'Device Parameters'!E43*0.001</f>
        <v>2.9793220338983057</v>
      </c>
      <c r="H102" s="3">
        <f>IF('Design Calculator'!F30="Soft Start", Equations!H73, Equations!H51)*'Device Parameters'!C39*1000/'Device Parameters'!E43*0.001</f>
        <v>2.9793220338983057</v>
      </c>
      <c r="I102" s="25" t="s">
        <v>8</v>
      </c>
    </row>
    <row r="103" spans="5:12" x14ac:dyDescent="0.25">
      <c r="E103" s="26" t="s">
        <v>9</v>
      </c>
      <c r="F103" s="3">
        <f>IF('Design Calculator'!F30="Soft Start", Equations!F73, Equations!F51)*0.001*'Device Parameters'!D39*1000/'Device Parameters'!D43</f>
        <v>3.8187499999999996</v>
      </c>
      <c r="G103" s="3">
        <f>IF('Design Calculator'!F30="Soft Start", Equations!G73, Equations!G51)*0.001*'Device Parameters'!D39*1000/'Device Parameters'!D43</f>
        <v>3.8187499999999996</v>
      </c>
      <c r="H103" s="3">
        <f>IF('Design Calculator'!F30="Soft Start", Equations!H73, Equations!H51)*0.001*'Device Parameters'!D39*1000/'Device Parameters'!D43</f>
        <v>3.8187499999999996</v>
      </c>
      <c r="I103" s="25" t="s">
        <v>8</v>
      </c>
    </row>
    <row r="104" spans="5:12" x14ac:dyDescent="0.25">
      <c r="E104" s="26" t="s">
        <v>233</v>
      </c>
      <c r="F104" s="3">
        <f>IF('Design Calculator'!F30="Soft Start", Equations!F73, Equations!F51)*0.001*'Device Parameters'!E39*1000/'Device Parameters'!C43</f>
        <v>5.7966666666666686</v>
      </c>
      <c r="G104" s="3">
        <f>IF('Design Calculator'!F30="Soft Start", Equations!G73, Equations!G51)*0.001*'Device Parameters'!E39*1000/'Device Parameters'!C43</f>
        <v>5.7966666666666686</v>
      </c>
      <c r="H104" s="3">
        <f>IF('Design Calculator'!F30="Soft Start", Equations!H73, Equations!H51)*0.001*'Device Parameters'!E39*1000/'Device Parameters'!C43</f>
        <v>5.7966666666666686</v>
      </c>
      <c r="I104" s="25" t="s">
        <v>8</v>
      </c>
    </row>
    <row r="105" spans="5:12" x14ac:dyDescent="0.25">
      <c r="E105" s="26" t="s">
        <v>234</v>
      </c>
      <c r="F105">
        <f>IF('Design Calculator'!F30="Soft Start", Equations!F73, Equations!F51)*(J105+K105+L105)</f>
        <v>38.824685714285721</v>
      </c>
      <c r="G105">
        <f>IF('Design Calculator'!F30="Soft Start", Equations!G73, Equations!G51)*(J105+K105+L105)</f>
        <v>38.824685714285721</v>
      </c>
      <c r="H105">
        <f>IF('Design Calculator'!F30="Soft Start", Equations!H73, Equations!H51)*(J105+K105+L105)</f>
        <v>38.824685714285721</v>
      </c>
      <c r="I105" s="25" t="s">
        <v>8</v>
      </c>
      <c r="J105">
        <f>(('Device Parameters'!C39-'Device Parameters'!E40)/'Device Parameters'!E45)*7</f>
        <v>0.18200000000000002</v>
      </c>
      <c r="K105">
        <f>(('Device Parameters'!C39-'Device Parameters'!C40)/'Device Parameters'!D46)*8</f>
        <v>7.8285714285714301</v>
      </c>
      <c r="L105">
        <f>(('Device Parameters'!C40-'Device Parameters'!D41)/'Device Parameters'!D46)</f>
        <v>0.25</v>
      </c>
    </row>
    <row r="106" spans="5:12" x14ac:dyDescent="0.25">
      <c r="E106" s="26" t="s">
        <v>10</v>
      </c>
      <c r="F106">
        <f>IF('Design Calculator'!F30="Soft Start", Equations!F73, Equations!F51)*(J106+K106+L106)</f>
        <v>38.95225714285715</v>
      </c>
      <c r="G106">
        <f>IF('Design Calculator'!F30="Soft Start", Equations!G73, Equations!G51)*(J106+K106+L106)</f>
        <v>38.95225714285715</v>
      </c>
      <c r="H106">
        <f>IF('Design Calculator'!F30="Soft Start", Equations!H73, Equations!H51)*(J106+K106+L106)</f>
        <v>38.95225714285715</v>
      </c>
      <c r="I106" s="25" t="s">
        <v>8</v>
      </c>
      <c r="J106">
        <f>(('Device Parameters'!D39-'Device Parameters'!D40)/'Device Parameters'!D45)*7</f>
        <v>0.252</v>
      </c>
      <c r="K106">
        <f>(('Device Parameters'!D39-'Device Parameters'!D40)/'Device Parameters'!D46)*8</f>
        <v>7.7142857142857153</v>
      </c>
      <c r="L106">
        <f>(('Device Parameters'!D40-'Device Parameters'!D41)/'Device Parameters'!D46)</f>
        <v>0.3214285714285714</v>
      </c>
    </row>
    <row r="107" spans="5:12" x14ac:dyDescent="0.25">
      <c r="E107" s="26" t="s">
        <v>254</v>
      </c>
      <c r="F107">
        <f>IF('Design Calculator'!F30="Soft Start", Equations!F73, Equations!F51)*(J107+K107+L107)</f>
        <v>39.38409761904763</v>
      </c>
      <c r="G107">
        <f>IF('Design Calculator'!F30="Soft Start", Equations!G73, Equations!G51)*(J107+K107+L107)</f>
        <v>39.38409761904763</v>
      </c>
      <c r="H107">
        <f>IF('Design Calculator'!F30="Soft Start", Equations!H73, Equations!H51)*(J107+K107+L107)</f>
        <v>39.38409761904763</v>
      </c>
      <c r="I107" s="25" t="s">
        <v>8</v>
      </c>
      <c r="J107">
        <f>(('Device Parameters'!E39-'Device Parameters'!C40)/'Device Parameters'!C45)*7</f>
        <v>0.35816666666666669</v>
      </c>
      <c r="K107">
        <f>(('Device Parameters'!E39-'Device Parameters'!E40)/'Device Parameters'!D46)*8</f>
        <v>7.6285714285714299</v>
      </c>
      <c r="L107">
        <f>(('Device Parameters'!E40-'Device Parameters'!D41)/'Device Parameters'!D46)</f>
        <v>0.39285714285714285</v>
      </c>
    </row>
    <row r="108" spans="5:12" x14ac:dyDescent="0.25">
      <c r="E108" s="26" t="s">
        <v>253</v>
      </c>
      <c r="F108">
        <f>(1+'Design Calculator'!F128/'Design Calculator'!F129)*'Device Parameters'!C51</f>
        <v>36.838571428571434</v>
      </c>
      <c r="I108" s="25"/>
    </row>
    <row r="109" spans="5:12" x14ac:dyDescent="0.25">
      <c r="E109" s="26" t="s">
        <v>252</v>
      </c>
      <c r="F109">
        <f>(1+'Design Calculator'!F128/'Design Calculator'!F129)*'Device Parameters'!D51</f>
        <v>37.602857142857147</v>
      </c>
      <c r="I109" s="25"/>
    </row>
    <row r="110" spans="5:12" x14ac:dyDescent="0.25">
      <c r="E110" s="26" t="s">
        <v>251</v>
      </c>
      <c r="F110">
        <f>(1+'Design Calculator'!F128/'Design Calculator'!F129)*'Device Parameters'!E51</f>
        <v>38.520000000000003</v>
      </c>
    </row>
    <row r="111" spans="5:12" x14ac:dyDescent="0.25">
      <c r="E111" s="26" t="s">
        <v>255</v>
      </c>
      <c r="F111">
        <f>('Design Calculator'!F128*'Device Parameters'!C52)</f>
        <v>2250</v>
      </c>
    </row>
    <row r="112" spans="5:12" x14ac:dyDescent="0.25">
      <c r="E112" s="26" t="s">
        <v>256</v>
      </c>
      <c r="F112">
        <f>('Design Calculator'!F128*'Device Parameters'!$D$52)</f>
        <v>3000</v>
      </c>
    </row>
    <row r="113" spans="2:12" x14ac:dyDescent="0.25">
      <c r="E113" s="26" t="s">
        <v>257</v>
      </c>
      <c r="F113">
        <f>('Design Calculator'!F128*'Device Parameters'!$E$52)</f>
        <v>3750</v>
      </c>
    </row>
    <row r="114" spans="2:12" x14ac:dyDescent="0.25">
      <c r="E114" s="26"/>
    </row>
    <row r="115" spans="2:12" x14ac:dyDescent="0.25">
      <c r="E115" s="26"/>
    </row>
    <row r="116" spans="2:12" x14ac:dyDescent="0.25">
      <c r="D116" s="21"/>
      <c r="I116" t="s">
        <v>28</v>
      </c>
      <c r="L116" t="s">
        <v>51</v>
      </c>
    </row>
    <row r="117" spans="2:12" x14ac:dyDescent="0.25">
      <c r="D117" s="21"/>
      <c r="I117" t="s">
        <v>29</v>
      </c>
      <c r="L117" t="s">
        <v>52</v>
      </c>
    </row>
    <row r="118" spans="2:12" x14ac:dyDescent="0.25">
      <c r="D118" s="21"/>
      <c r="I118" t="s">
        <v>30</v>
      </c>
      <c r="L118" t="s">
        <v>53</v>
      </c>
    </row>
    <row r="121" spans="2:12" x14ac:dyDescent="0.25">
      <c r="E121" s="2" t="s">
        <v>19</v>
      </c>
    </row>
    <row r="122" spans="2:12" x14ac:dyDescent="0.25">
      <c r="E122" s="2" t="s">
        <v>20</v>
      </c>
    </row>
    <row r="123" spans="2:12" x14ac:dyDescent="0.25">
      <c r="E123" s="2"/>
      <c r="F123" s="1" t="s">
        <v>25</v>
      </c>
      <c r="G123" s="1" t="s">
        <v>26</v>
      </c>
      <c r="H123" s="1" t="s">
        <v>433</v>
      </c>
      <c r="I123" s="1" t="s">
        <v>434</v>
      </c>
    </row>
    <row r="124" spans="2:12" x14ac:dyDescent="0.25">
      <c r="E124" s="2" t="s">
        <v>33</v>
      </c>
      <c r="F124" s="16">
        <f>('Design Calculator'!F102-'Design Calculator'!F103)*1000/20</f>
        <v>150</v>
      </c>
      <c r="G124" s="16">
        <f>('Design Calculator'!F102-'Design Calculator'!F103)*1000/20</f>
        <v>150</v>
      </c>
    </row>
    <row r="125" spans="2:12" x14ac:dyDescent="0.25">
      <c r="E125" s="2" t="s">
        <v>32</v>
      </c>
      <c r="F125" s="16">
        <f>2.48*F124/('Design Calculator'!F103-2.48)-F126</f>
        <v>5.3292648311098487</v>
      </c>
      <c r="G125" s="16">
        <f>2.48*G124/('Design Calculator'!F103-2.48)</f>
        <v>11.43911439114391</v>
      </c>
    </row>
    <row r="126" spans="2:12" x14ac:dyDescent="0.25">
      <c r="E126" s="2" t="s">
        <v>31</v>
      </c>
      <c r="F126" s="16">
        <f>(F124*'Design Calculator'!F103*2.46)/('Design Calculator'!F104*('Design Calculator'!F103-2.48))</f>
        <v>6.1098495600340614</v>
      </c>
      <c r="G126" s="16">
        <f>('Design Calculator'!F104-'Design Calculator'!F105)*1000/21</f>
        <v>95.238095238095241</v>
      </c>
    </row>
    <row r="127" spans="2:12" x14ac:dyDescent="0.25">
      <c r="E127" s="2" t="s">
        <v>34</v>
      </c>
      <c r="F127" s="1"/>
      <c r="G127" s="16">
        <f>2.46*G126/('Design Calculator'!F104-2.46)</f>
        <v>3.7461738772899631</v>
      </c>
    </row>
    <row r="128" spans="2:12" x14ac:dyDescent="0.25">
      <c r="B128" s="8"/>
      <c r="C128" s="9"/>
      <c r="D128" s="9"/>
      <c r="E128" s="10" t="s">
        <v>38</v>
      </c>
      <c r="F128" s="16">
        <f>2.41+('Design Calculator'!F110*((2.41/('Design Calculator'!F111+'Design Calculator'!F112))+(16/1000)))</f>
        <v>8.1948314606741572</v>
      </c>
      <c r="G128" s="16">
        <f>2.41+('Design Calculator'!F$110*((2.41/'Design Calculator'!F$111)+(16/1000)))</f>
        <v>36.244782608695658</v>
      </c>
    </row>
    <row r="129" spans="2:7" x14ac:dyDescent="0.25">
      <c r="B129" s="11"/>
      <c r="E129" s="12" t="s">
        <v>39</v>
      </c>
      <c r="F129" s="16">
        <f>2.48+('Design Calculator'!F110*((2.48/('Design Calculator'!F111+'Design Calculator'!F112))+(20/1000)))</f>
        <v>8.9631460674157299</v>
      </c>
      <c r="G129" s="16">
        <f>2.48+('Design Calculator'!F$110*((2.48/'Design Calculator'!F$111)+(20/1000)))</f>
        <v>37.82782608695652</v>
      </c>
    </row>
    <row r="130" spans="2:7" x14ac:dyDescent="0.25">
      <c r="B130" s="13"/>
      <c r="C130" s="14"/>
      <c r="D130" s="14"/>
      <c r="E130" s="15" t="s">
        <v>40</v>
      </c>
      <c r="F130" s="16">
        <f>2.55+('Design Calculator'!F110*((2.55/('Design Calculator'!F111+'Design Calculator'!F112))+(24/1000)))</f>
        <v>9.7314606741573026</v>
      </c>
      <c r="G130" s="16">
        <f>2.55+('Design Calculator'!F$110*((2.55/'Design Calculator'!F$111)+(24/1000)))</f>
        <v>39.410869565217389</v>
      </c>
    </row>
    <row r="131" spans="2:7" x14ac:dyDescent="0.25">
      <c r="E131" s="2" t="s">
        <v>41</v>
      </c>
      <c r="F131" s="16">
        <f>2.41*('Design Calculator'!F110+'Design Calculator'!F111+'Design Calculator'!F112)/('Design Calculator'!F111+'Design Calculator'!F112)</f>
        <v>5.7948314606741578</v>
      </c>
      <c r="G131" s="16">
        <f>2.41*('Design Calculator'!F$110+'Design Calculator'!F$111)/'Design Calculator'!F$111</f>
        <v>33.844782608695652</v>
      </c>
    </row>
    <row r="132" spans="2:7" x14ac:dyDescent="0.25">
      <c r="E132" s="2" t="s">
        <v>42</v>
      </c>
      <c r="F132" s="16">
        <f>2.48*('Design Calculator'!F110+'Design Calculator'!F111+'Design Calculator'!F112)/('Design Calculator'!F111+'Design Calculator'!F112)</f>
        <v>5.9631460674157308</v>
      </c>
      <c r="G132" s="16">
        <f>2.48*('Design Calculator'!F$110+'Design Calculator'!F$111)/'Design Calculator'!F$111</f>
        <v>34.82782608695652</v>
      </c>
    </row>
    <row r="133" spans="2:7" x14ac:dyDescent="0.25">
      <c r="E133" s="2" t="s">
        <v>43</v>
      </c>
      <c r="F133" s="16">
        <f>2.55*('Design Calculator'!F110+'Design Calculator'!F111+'Design Calculator'!F112)/('Design Calculator'!F111+'Design Calculator'!F112)</f>
        <v>6.1314606741573039</v>
      </c>
      <c r="G133" s="16">
        <f>2.55*('Design Calculator'!F$110+'Design Calculator'!F$111)/'Design Calculator'!F$111</f>
        <v>35.810869565217388</v>
      </c>
    </row>
    <row r="134" spans="2:7" x14ac:dyDescent="0.25">
      <c r="B134" s="8"/>
      <c r="C134" s="9"/>
      <c r="D134" s="9"/>
      <c r="E134" s="10" t="s">
        <v>44</v>
      </c>
      <c r="F134" s="16">
        <f>2.39*('Design Calculator'!F110+'Design Calculator'!F111+'Design Calculator'!F112)/'Design Calculator'!F112</f>
        <v>6.4402098635886684</v>
      </c>
      <c r="G134" s="16">
        <f>2.39*('Design Calculator'!F$112+'Design Calculator'!F$113)/'Design Calculator'!F$113</f>
        <v>63.290267379679143</v>
      </c>
    </row>
    <row r="135" spans="2:7" x14ac:dyDescent="0.25">
      <c r="B135" s="11"/>
      <c r="E135" s="12" t="s">
        <v>45</v>
      </c>
      <c r="F135" s="16">
        <f>2.46*('Design Calculator'!F$110+'Design Calculator'!F$111+'Design Calculator'!F$112)/'Design Calculator'!F$112</f>
        <v>6.6288352570828968</v>
      </c>
      <c r="G135" s="16">
        <f>2.46*('Design Calculator'!F$112+'Design Calculator'!F$113)/'Design Calculator'!F$113</f>
        <v>65.143957219251334</v>
      </c>
    </row>
    <row r="136" spans="2:7" x14ac:dyDescent="0.25">
      <c r="B136" s="13"/>
      <c r="C136" s="14"/>
      <c r="D136" s="14"/>
      <c r="E136" s="15" t="s">
        <v>46</v>
      </c>
      <c r="F136" s="16">
        <f>2.53*('Design Calculator'!F$110+'Design Calculator'!F$111+'Design Calculator'!F$112)/'Design Calculator'!F$112</f>
        <v>6.8174606505771242</v>
      </c>
      <c r="G136" s="16">
        <f>2.53*('Design Calculator'!F$112+'Design Calculator'!F$113)/'Design Calculator'!F$113</f>
        <v>66.997647058823517</v>
      </c>
    </row>
    <row r="137" spans="2:7" x14ac:dyDescent="0.25">
      <c r="E137" s="2" t="s">
        <v>47</v>
      </c>
      <c r="F137" s="16">
        <f>2.39+(('Design Calculator'!F$110+'Design Calculator'!F$111)*((2.39/'Design Calculator'!F$112)-(24/1000)))</f>
        <v>2.5642098635886676</v>
      </c>
      <c r="G137" s="16">
        <f>2.39+('Design Calculator'!F$112*((2.39/'Design Calculator'!F$113)-(24/1000)))</f>
        <v>61.003067379679145</v>
      </c>
    </row>
    <row r="138" spans="2:7" x14ac:dyDescent="0.25">
      <c r="E138" s="2" t="s">
        <v>48</v>
      </c>
      <c r="F138" s="16">
        <f>2.46+(('Design Calculator'!F$110+'Design Calculator'!F$111)*((2.46/'Design Calculator'!F$112)-(21/1000)))</f>
        <v>3.2373352570828957</v>
      </c>
      <c r="G138" s="16">
        <f>2.46+('Design Calculator'!F$112*((2.46/'Design Calculator'!F$113)-(21/1000)))</f>
        <v>63.142657219251333</v>
      </c>
    </row>
    <row r="139" spans="2:7" x14ac:dyDescent="0.25">
      <c r="E139" s="2" t="s">
        <v>49</v>
      </c>
      <c r="F139" s="16">
        <f>2.53+(('Design Calculator'!F$110+'Design Calculator'!F$111)*((2.53/'Design Calculator'!F$112)-(16/1000)))</f>
        <v>4.2334606505771237</v>
      </c>
      <c r="G139" s="16">
        <f>2.53+('Design Calculator'!F$112*((2.53/'Design Calculator'!F$113)-(16/1000)))</f>
        <v>65.472847058823518</v>
      </c>
    </row>
    <row r="147" spans="5:7" x14ac:dyDescent="0.25">
      <c r="E147" s="26" t="s">
        <v>117</v>
      </c>
      <c r="F147" s="25" t="e">
        <f>'Design Calculator'!#REF!</f>
        <v>#REF!</v>
      </c>
      <c r="G147" s="25" t="s">
        <v>8</v>
      </c>
    </row>
    <row r="148" spans="5:7" x14ac:dyDescent="0.25">
      <c r="E148" s="26" t="s">
        <v>118</v>
      </c>
      <c r="F148" s="25">
        <f>'Design Calculator'!F20</f>
        <v>48</v>
      </c>
      <c r="G148" s="25" t="s">
        <v>86</v>
      </c>
    </row>
    <row r="149" spans="5:7" x14ac:dyDescent="0.25">
      <c r="E149" s="26" t="s">
        <v>119</v>
      </c>
      <c r="F149" t="e">
        <f>22/F148*F147</f>
        <v>#REF!</v>
      </c>
      <c r="G149" s="25" t="s">
        <v>120</v>
      </c>
    </row>
    <row r="170" spans="3:6" x14ac:dyDescent="0.25">
      <c r="C170" s="21" t="s">
        <v>56</v>
      </c>
    </row>
    <row r="171" spans="3:6" x14ac:dyDescent="0.25">
      <c r="E171" s="2" t="s">
        <v>57</v>
      </c>
      <c r="F171" s="1">
        <f>'Design Calculator'!F35</f>
        <v>0.1</v>
      </c>
    </row>
    <row r="172" spans="3:6" ht="15.6" x14ac:dyDescent="0.35">
      <c r="E172" s="2" t="s">
        <v>58</v>
      </c>
      <c r="F172" s="1">
        <f>'Design Calculator'!F51</f>
        <v>47</v>
      </c>
    </row>
    <row r="173" spans="3:6" x14ac:dyDescent="0.25">
      <c r="E173" s="2" t="s">
        <v>59</v>
      </c>
      <c r="F173" s="1">
        <f>'Design Calculator'!F21</f>
        <v>70</v>
      </c>
    </row>
    <row r="175" spans="3:6" x14ac:dyDescent="0.25">
      <c r="E175" s="2" t="s">
        <v>60</v>
      </c>
      <c r="F175" s="16">
        <f>F13</f>
        <v>233.99999999999997</v>
      </c>
    </row>
    <row r="176" spans="3:6" x14ac:dyDescent="0.25">
      <c r="E176" s="2" t="s">
        <v>61</v>
      </c>
      <c r="F176" s="16">
        <f>F14</f>
        <v>260</v>
      </c>
    </row>
    <row r="177" spans="2:25" x14ac:dyDescent="0.25">
      <c r="E177" s="2" t="s">
        <v>62</v>
      </c>
      <c r="F177" s="16">
        <f>F15</f>
        <v>286</v>
      </c>
    </row>
    <row r="179" spans="2:25" x14ac:dyDescent="0.25">
      <c r="E179" s="2" t="s">
        <v>63</v>
      </c>
      <c r="F179" s="5">
        <f>F39</f>
        <v>2827.2</v>
      </c>
    </row>
    <row r="180" spans="2:25" x14ac:dyDescent="0.25">
      <c r="E180" s="2" t="s">
        <v>64</v>
      </c>
      <c r="F180" s="5">
        <f>F40</f>
        <v>3719.9999999999995</v>
      </c>
      <c r="Y180" s="25" t="s">
        <v>87</v>
      </c>
    </row>
    <row r="181" spans="2:25" x14ac:dyDescent="0.25">
      <c r="E181" s="2" t="s">
        <v>65</v>
      </c>
      <c r="F181" s="5">
        <f>F41</f>
        <v>4612.7999999999993</v>
      </c>
    </row>
    <row r="186" spans="2:25" x14ac:dyDescent="0.25">
      <c r="D186" t="s">
        <v>66</v>
      </c>
      <c r="E186" s="2"/>
      <c r="I186" t="s">
        <v>67</v>
      </c>
      <c r="N186" t="s">
        <v>82</v>
      </c>
      <c r="R186" s="25" t="s">
        <v>88</v>
      </c>
    </row>
    <row r="187" spans="2:25" x14ac:dyDescent="0.25">
      <c r="D187" t="s">
        <v>68</v>
      </c>
      <c r="I187" t="s">
        <v>69</v>
      </c>
      <c r="N187" t="s">
        <v>74</v>
      </c>
      <c r="R187" s="25" t="s">
        <v>89</v>
      </c>
    </row>
    <row r="188" spans="2:25" x14ac:dyDescent="0.25">
      <c r="B188" s="25" t="s">
        <v>140</v>
      </c>
      <c r="D188" s="4" t="s">
        <v>70</v>
      </c>
      <c r="E188" s="4" t="s">
        <v>71</v>
      </c>
      <c r="F188" s="128" t="s">
        <v>72</v>
      </c>
      <c r="G188" s="4" t="s">
        <v>73</v>
      </c>
      <c r="I188" s="4" t="s">
        <v>70</v>
      </c>
      <c r="J188" s="4" t="s">
        <v>71</v>
      </c>
      <c r="K188" s="4" t="s">
        <v>72</v>
      </c>
      <c r="L188" s="4" t="s">
        <v>73</v>
      </c>
      <c r="N188" t="s">
        <v>75</v>
      </c>
      <c r="R188" s="4" t="s">
        <v>70</v>
      </c>
      <c r="S188" s="4" t="s">
        <v>71</v>
      </c>
      <c r="T188" s="4" t="s">
        <v>72</v>
      </c>
      <c r="U188" s="4" t="s">
        <v>73</v>
      </c>
      <c r="V188" s="128" t="s">
        <v>81</v>
      </c>
      <c r="X188" s="138" t="s">
        <v>319</v>
      </c>
    </row>
    <row r="189" spans="2:25" x14ac:dyDescent="0.25">
      <c r="B189">
        <f>D189*F189</f>
        <v>3029.9999999999995</v>
      </c>
      <c r="D189" s="4">
        <v>1</v>
      </c>
      <c r="E189" s="22">
        <f t="shared" ref="E189:E205" si="3">(1-$F$276)*F189</f>
        <v>2272.4999999999995</v>
      </c>
      <c r="F189" s="22">
        <f t="shared" ref="F189:F220" si="4">($F$180+(D189-VINMAX)*$E$273/$E$274)/D189</f>
        <v>3029.9999999999995</v>
      </c>
      <c r="G189" s="22">
        <f t="shared" ref="G189:G205" si="5">F189*(1+$F$276)</f>
        <v>3787.4999999999995</v>
      </c>
      <c r="I189" s="4">
        <v>1</v>
      </c>
      <c r="J189" s="22">
        <f t="shared" ref="J189:J205" si="6">IF(E189&gt;$F$175,$F$175,E189)</f>
        <v>233.99999999999997</v>
      </c>
      <c r="K189" s="22">
        <f t="shared" ref="K189:K205" si="7">IF(F189&gt;$F$176,$F$176,F189)</f>
        <v>260</v>
      </c>
      <c r="L189" s="22">
        <f t="shared" ref="L189:L205" si="8">IF(G189&gt;$F$177,$F$177,G189)</f>
        <v>286</v>
      </c>
      <c r="N189" t="s">
        <v>76</v>
      </c>
      <c r="R189" s="4">
        <v>1</v>
      </c>
      <c r="S189" s="22">
        <f t="shared" ref="S189:S205" si="9">IF($R189&gt;$F$173,0.0000000005,J189)</f>
        <v>233.99999999999997</v>
      </c>
      <c r="T189" s="22">
        <f t="shared" ref="T189:T205" si="10">IF($R189&gt;$F$173,0.0000000005,K189)</f>
        <v>260</v>
      </c>
      <c r="U189" s="22">
        <f t="shared" ref="U189:U205" si="11">IF($R189&gt;$F$173,0.0000000005,L189)</f>
        <v>286</v>
      </c>
      <c r="V189" s="22">
        <f t="shared" ref="V189:V205" ca="1" si="12">$X$189/R189</f>
        <v>1957.2373986053137</v>
      </c>
      <c r="X189">
        <f ca="1">SOA!C28</f>
        <v>1957.2373986053137</v>
      </c>
    </row>
    <row r="190" spans="2:25" x14ac:dyDescent="0.25">
      <c r="B190">
        <f t="shared" ref="B190:B253" si="13">D190*F190</f>
        <v>3039.9999999999995</v>
      </c>
      <c r="D190" s="4">
        <v>2</v>
      </c>
      <c r="E190" s="22">
        <f t="shared" si="3"/>
        <v>1139.9999999999998</v>
      </c>
      <c r="F190" s="22">
        <f t="shared" si="4"/>
        <v>1519.9999999999998</v>
      </c>
      <c r="G190" s="22">
        <f t="shared" si="5"/>
        <v>1899.9999999999998</v>
      </c>
      <c r="I190" s="4">
        <v>2</v>
      </c>
      <c r="J190" s="22">
        <f t="shared" si="6"/>
        <v>233.99999999999997</v>
      </c>
      <c r="K190" s="22">
        <f t="shared" si="7"/>
        <v>260</v>
      </c>
      <c r="L190" s="22">
        <f t="shared" si="8"/>
        <v>286</v>
      </c>
      <c r="R190" s="4">
        <v>2</v>
      </c>
      <c r="S190" s="22">
        <f t="shared" si="9"/>
        <v>233.99999999999997</v>
      </c>
      <c r="T190" s="22">
        <f t="shared" si="10"/>
        <v>260</v>
      </c>
      <c r="U190" s="22">
        <f t="shared" si="11"/>
        <v>286</v>
      </c>
      <c r="V190" s="22">
        <f t="shared" ca="1" si="12"/>
        <v>978.61869930265686</v>
      </c>
    </row>
    <row r="191" spans="2:25" x14ac:dyDescent="0.25">
      <c r="B191">
        <f t="shared" si="13"/>
        <v>3049.9999999999995</v>
      </c>
      <c r="D191" s="4">
        <v>3</v>
      </c>
      <c r="E191" s="22">
        <f t="shared" si="3"/>
        <v>762.49999999999989</v>
      </c>
      <c r="F191" s="22">
        <f t="shared" si="4"/>
        <v>1016.6666666666665</v>
      </c>
      <c r="G191" s="22">
        <f t="shared" si="5"/>
        <v>1270.833333333333</v>
      </c>
      <c r="I191" s="4">
        <v>3</v>
      </c>
      <c r="J191" s="22">
        <f t="shared" si="6"/>
        <v>233.99999999999997</v>
      </c>
      <c r="K191" s="22">
        <f t="shared" si="7"/>
        <v>260</v>
      </c>
      <c r="L191" s="22">
        <f t="shared" si="8"/>
        <v>286</v>
      </c>
      <c r="O191" s="23" t="s">
        <v>77</v>
      </c>
      <c r="R191" s="4">
        <v>3</v>
      </c>
      <c r="S191" s="22">
        <f t="shared" si="9"/>
        <v>233.99999999999997</v>
      </c>
      <c r="T191" s="22">
        <f t="shared" si="10"/>
        <v>260</v>
      </c>
      <c r="U191" s="22">
        <f t="shared" si="11"/>
        <v>286</v>
      </c>
      <c r="V191" s="22">
        <f t="shared" ca="1" si="12"/>
        <v>652.41246620177128</v>
      </c>
    </row>
    <row r="192" spans="2:25" x14ac:dyDescent="0.25">
      <c r="B192">
        <f t="shared" si="13"/>
        <v>3059.9999999999995</v>
      </c>
      <c r="D192" s="4">
        <v>4</v>
      </c>
      <c r="E192" s="22">
        <f t="shared" si="3"/>
        <v>573.74999999999989</v>
      </c>
      <c r="F192" s="22">
        <f t="shared" si="4"/>
        <v>764.99999999999989</v>
      </c>
      <c r="G192" s="22">
        <f t="shared" si="5"/>
        <v>956.24999999999989</v>
      </c>
      <c r="I192" s="4">
        <v>4</v>
      </c>
      <c r="J192" s="22">
        <f t="shared" si="6"/>
        <v>233.99999999999997</v>
      </c>
      <c r="K192" s="22">
        <f t="shared" si="7"/>
        <v>260</v>
      </c>
      <c r="L192" s="22">
        <f t="shared" si="8"/>
        <v>286</v>
      </c>
      <c r="N192" s="7" t="s">
        <v>70</v>
      </c>
      <c r="O192" s="24" t="s">
        <v>78</v>
      </c>
      <c r="R192" s="4">
        <v>4</v>
      </c>
      <c r="S192" s="22">
        <f t="shared" si="9"/>
        <v>233.99999999999997</v>
      </c>
      <c r="T192" s="22">
        <f t="shared" si="10"/>
        <v>260</v>
      </c>
      <c r="U192" s="22">
        <f t="shared" si="11"/>
        <v>286</v>
      </c>
      <c r="V192" s="22">
        <f t="shared" ca="1" si="12"/>
        <v>489.30934965132843</v>
      </c>
    </row>
    <row r="193" spans="2:22" x14ac:dyDescent="0.25">
      <c r="B193">
        <f t="shared" si="13"/>
        <v>3069.9999999999995</v>
      </c>
      <c r="D193" s="4">
        <v>5</v>
      </c>
      <c r="E193" s="22">
        <f t="shared" si="3"/>
        <v>460.49999999999989</v>
      </c>
      <c r="F193" s="22">
        <f t="shared" si="4"/>
        <v>613.99999999999989</v>
      </c>
      <c r="G193" s="22">
        <f t="shared" si="5"/>
        <v>767.49999999999989</v>
      </c>
      <c r="I193" s="4">
        <v>5</v>
      </c>
      <c r="J193" s="22">
        <f t="shared" si="6"/>
        <v>233.99999999999997</v>
      </c>
      <c r="K193" s="22">
        <f t="shared" si="7"/>
        <v>260</v>
      </c>
      <c r="L193" s="22">
        <f t="shared" si="8"/>
        <v>286</v>
      </c>
      <c r="N193" s="4">
        <v>1</v>
      </c>
      <c r="O193" s="4" t="e">
        <f>#REF!</f>
        <v>#REF!</v>
      </c>
      <c r="P193" t="s">
        <v>79</v>
      </c>
      <c r="R193" s="4">
        <v>5</v>
      </c>
      <c r="S193" s="22">
        <f t="shared" si="9"/>
        <v>233.99999999999997</v>
      </c>
      <c r="T193" s="22">
        <f t="shared" si="10"/>
        <v>260</v>
      </c>
      <c r="U193" s="22">
        <f t="shared" si="11"/>
        <v>286</v>
      </c>
      <c r="V193" s="22">
        <f t="shared" ca="1" si="12"/>
        <v>391.44747972106273</v>
      </c>
    </row>
    <row r="194" spans="2:22" x14ac:dyDescent="0.25">
      <c r="B194">
        <f t="shared" si="13"/>
        <v>3079.9999999999995</v>
      </c>
      <c r="D194" s="4">
        <v>6</v>
      </c>
      <c r="E194" s="22">
        <f t="shared" si="3"/>
        <v>384.99999999999994</v>
      </c>
      <c r="F194" s="22">
        <f t="shared" si="4"/>
        <v>513.33333333333326</v>
      </c>
      <c r="G194" s="22">
        <f t="shared" si="5"/>
        <v>641.66666666666652</v>
      </c>
      <c r="I194" s="4">
        <v>6</v>
      </c>
      <c r="J194" s="22">
        <f t="shared" si="6"/>
        <v>233.99999999999997</v>
      </c>
      <c r="K194" s="22">
        <f t="shared" si="7"/>
        <v>260</v>
      </c>
      <c r="L194" s="22">
        <f t="shared" si="8"/>
        <v>286</v>
      </c>
      <c r="N194" s="4">
        <v>2</v>
      </c>
      <c r="O194" s="22" t="e">
        <f>O197+((O193-O197)*3/7)</f>
        <v>#REF!</v>
      </c>
      <c r="R194" s="4">
        <v>6</v>
      </c>
      <c r="S194" s="22">
        <f t="shared" si="9"/>
        <v>233.99999999999997</v>
      </c>
      <c r="T194" s="22">
        <f t="shared" si="10"/>
        <v>260</v>
      </c>
      <c r="U194" s="22">
        <f t="shared" si="11"/>
        <v>286</v>
      </c>
      <c r="V194" s="22">
        <f t="shared" ca="1" si="12"/>
        <v>326.20623310088564</v>
      </c>
    </row>
    <row r="195" spans="2:22" x14ac:dyDescent="0.25">
      <c r="B195">
        <f t="shared" si="13"/>
        <v>3089.9999999999995</v>
      </c>
      <c r="D195" s="4">
        <v>7</v>
      </c>
      <c r="E195" s="22">
        <f t="shared" si="3"/>
        <v>331.07142857142856</v>
      </c>
      <c r="F195" s="22">
        <f t="shared" si="4"/>
        <v>441.42857142857139</v>
      </c>
      <c r="G195" s="22">
        <f t="shared" si="5"/>
        <v>551.78571428571422</v>
      </c>
      <c r="I195" s="4">
        <v>7</v>
      </c>
      <c r="J195" s="22">
        <f t="shared" si="6"/>
        <v>233.99999999999997</v>
      </c>
      <c r="K195" s="22">
        <f t="shared" si="7"/>
        <v>260</v>
      </c>
      <c r="L195" s="22">
        <f t="shared" si="8"/>
        <v>286</v>
      </c>
      <c r="N195" s="4">
        <v>3</v>
      </c>
      <c r="O195" s="22" t="e">
        <f>O197+((O193-O197)*2/8)</f>
        <v>#REF!</v>
      </c>
      <c r="R195" s="4">
        <v>7</v>
      </c>
      <c r="S195" s="22">
        <f t="shared" si="9"/>
        <v>233.99999999999997</v>
      </c>
      <c r="T195" s="22">
        <f t="shared" si="10"/>
        <v>260</v>
      </c>
      <c r="U195" s="22">
        <f t="shared" si="11"/>
        <v>286</v>
      </c>
      <c r="V195" s="22">
        <f t="shared" ca="1" si="12"/>
        <v>279.60534265790199</v>
      </c>
    </row>
    <row r="196" spans="2:22" x14ac:dyDescent="0.25">
      <c r="B196">
        <f t="shared" si="13"/>
        <v>3099.9999999999995</v>
      </c>
      <c r="D196" s="4">
        <v>8</v>
      </c>
      <c r="E196" s="22">
        <f t="shared" si="3"/>
        <v>290.62499999999994</v>
      </c>
      <c r="F196" s="22">
        <f t="shared" si="4"/>
        <v>387.49999999999994</v>
      </c>
      <c r="G196" s="22">
        <f t="shared" si="5"/>
        <v>484.37499999999994</v>
      </c>
      <c r="I196" s="4">
        <v>8</v>
      </c>
      <c r="J196" s="22">
        <f t="shared" si="6"/>
        <v>233.99999999999997</v>
      </c>
      <c r="K196" s="22">
        <f t="shared" si="7"/>
        <v>260</v>
      </c>
      <c r="L196" s="22">
        <f t="shared" si="8"/>
        <v>286</v>
      </c>
      <c r="N196" s="4">
        <v>4</v>
      </c>
      <c r="O196" s="22" t="e">
        <f>O197+((O193-O197)*1/9)</f>
        <v>#REF!</v>
      </c>
      <c r="R196" s="4">
        <v>8</v>
      </c>
      <c r="S196" s="22">
        <f t="shared" si="9"/>
        <v>233.99999999999997</v>
      </c>
      <c r="T196" s="22">
        <f t="shared" si="10"/>
        <v>260</v>
      </c>
      <c r="U196" s="22">
        <f t="shared" si="11"/>
        <v>286</v>
      </c>
      <c r="V196" s="22">
        <f t="shared" ca="1" si="12"/>
        <v>244.65467482566422</v>
      </c>
    </row>
    <row r="197" spans="2:22" x14ac:dyDescent="0.25">
      <c r="B197">
        <f t="shared" si="13"/>
        <v>3109.9999999999995</v>
      </c>
      <c r="D197" s="4">
        <v>9</v>
      </c>
      <c r="E197" s="22">
        <f t="shared" si="3"/>
        <v>259.16666666666663</v>
      </c>
      <c r="F197" s="22">
        <f t="shared" si="4"/>
        <v>345.55555555555549</v>
      </c>
      <c r="G197" s="22">
        <f t="shared" si="5"/>
        <v>431.94444444444434</v>
      </c>
      <c r="I197" s="4">
        <v>9</v>
      </c>
      <c r="J197" s="22">
        <f t="shared" si="6"/>
        <v>233.99999999999997</v>
      </c>
      <c r="K197" s="22">
        <f t="shared" si="7"/>
        <v>260</v>
      </c>
      <c r="L197" s="22">
        <f t="shared" si="8"/>
        <v>286</v>
      </c>
      <c r="N197" s="4">
        <v>5</v>
      </c>
      <c r="O197" s="22" t="e">
        <f>#REF!</f>
        <v>#REF!</v>
      </c>
      <c r="P197" t="s">
        <v>80</v>
      </c>
      <c r="R197" s="4">
        <v>9</v>
      </c>
      <c r="S197" s="22">
        <f t="shared" si="9"/>
        <v>233.99999999999997</v>
      </c>
      <c r="T197" s="22">
        <f t="shared" si="10"/>
        <v>260</v>
      </c>
      <c r="U197" s="22">
        <f t="shared" si="11"/>
        <v>286</v>
      </c>
      <c r="V197" s="22">
        <f t="shared" ca="1" si="12"/>
        <v>217.47082206725707</v>
      </c>
    </row>
    <row r="198" spans="2:22" x14ac:dyDescent="0.25">
      <c r="B198">
        <f t="shared" si="13"/>
        <v>3119.9999999999995</v>
      </c>
      <c r="D198" s="4">
        <v>10</v>
      </c>
      <c r="E198" s="22">
        <f t="shared" si="3"/>
        <v>233.99999999999994</v>
      </c>
      <c r="F198" s="22">
        <f t="shared" si="4"/>
        <v>311.99999999999994</v>
      </c>
      <c r="G198" s="22">
        <f t="shared" si="5"/>
        <v>389.99999999999994</v>
      </c>
      <c r="I198" s="4">
        <v>10</v>
      </c>
      <c r="J198" s="22">
        <f t="shared" si="6"/>
        <v>233.99999999999994</v>
      </c>
      <c r="K198" s="22">
        <f t="shared" si="7"/>
        <v>260</v>
      </c>
      <c r="L198" s="22">
        <f t="shared" si="8"/>
        <v>286</v>
      </c>
      <c r="N198" s="4">
        <v>6</v>
      </c>
      <c r="O198" s="22" t="e">
        <f>O$202+((O$197-O$202)*4/6)</f>
        <v>#REF!</v>
      </c>
      <c r="R198" s="4">
        <v>10</v>
      </c>
      <c r="S198" s="22">
        <f t="shared" si="9"/>
        <v>233.99999999999994</v>
      </c>
      <c r="T198" s="22">
        <f t="shared" si="10"/>
        <v>260</v>
      </c>
      <c r="U198" s="22">
        <f t="shared" si="11"/>
        <v>286</v>
      </c>
      <c r="V198" s="22">
        <f t="shared" ca="1" si="12"/>
        <v>195.72373986053137</v>
      </c>
    </row>
    <row r="199" spans="2:22" x14ac:dyDescent="0.25">
      <c r="B199">
        <f t="shared" si="13"/>
        <v>3129.9999999999995</v>
      </c>
      <c r="D199" s="4">
        <v>11</v>
      </c>
      <c r="E199" s="22">
        <f t="shared" si="3"/>
        <v>213.40909090909088</v>
      </c>
      <c r="F199" s="22">
        <f t="shared" si="4"/>
        <v>284.5454545454545</v>
      </c>
      <c r="G199" s="22">
        <f t="shared" si="5"/>
        <v>355.68181818181813</v>
      </c>
      <c r="I199" s="4">
        <v>11</v>
      </c>
      <c r="J199" s="22">
        <f t="shared" si="6"/>
        <v>213.40909090909088</v>
      </c>
      <c r="K199" s="22">
        <f t="shared" si="7"/>
        <v>260</v>
      </c>
      <c r="L199" s="22">
        <f t="shared" si="8"/>
        <v>286</v>
      </c>
      <c r="N199" s="4">
        <v>7</v>
      </c>
      <c r="O199" s="22" t="e">
        <f>O$202+((O$197-O$202)*3/7)</f>
        <v>#REF!</v>
      </c>
      <c r="R199" s="4">
        <v>11</v>
      </c>
      <c r="S199" s="22">
        <f t="shared" si="9"/>
        <v>213.40909090909088</v>
      </c>
      <c r="T199" s="22">
        <f t="shared" si="10"/>
        <v>260</v>
      </c>
      <c r="U199" s="22">
        <f t="shared" si="11"/>
        <v>286</v>
      </c>
      <c r="V199" s="22">
        <f t="shared" ca="1" si="12"/>
        <v>177.93067260048306</v>
      </c>
    </row>
    <row r="200" spans="2:22" x14ac:dyDescent="0.25">
      <c r="B200">
        <f t="shared" si="13"/>
        <v>3139.9999999999995</v>
      </c>
      <c r="D200" s="4">
        <v>12</v>
      </c>
      <c r="E200" s="22">
        <f t="shared" si="3"/>
        <v>196.24999999999997</v>
      </c>
      <c r="F200" s="22">
        <f t="shared" si="4"/>
        <v>261.66666666666663</v>
      </c>
      <c r="G200" s="22">
        <f t="shared" si="5"/>
        <v>327.08333333333326</v>
      </c>
      <c r="I200" s="4">
        <v>12</v>
      </c>
      <c r="J200" s="22">
        <f t="shared" si="6"/>
        <v>196.24999999999997</v>
      </c>
      <c r="K200" s="22">
        <f t="shared" si="7"/>
        <v>260</v>
      </c>
      <c r="L200" s="22">
        <f t="shared" si="8"/>
        <v>286</v>
      </c>
      <c r="N200" s="4">
        <v>8</v>
      </c>
      <c r="O200" s="22" t="e">
        <f>O$202+((O$197-O$202)*2/8)</f>
        <v>#REF!</v>
      </c>
      <c r="R200" s="4">
        <v>12</v>
      </c>
      <c r="S200" s="22">
        <f t="shared" si="9"/>
        <v>196.24999999999997</v>
      </c>
      <c r="T200" s="22">
        <f t="shared" si="10"/>
        <v>260</v>
      </c>
      <c r="U200" s="22">
        <f t="shared" si="11"/>
        <v>286</v>
      </c>
      <c r="V200" s="22">
        <f t="shared" ca="1" si="12"/>
        <v>163.10311655044282</v>
      </c>
    </row>
    <row r="201" spans="2:22" x14ac:dyDescent="0.25">
      <c r="B201">
        <f t="shared" si="13"/>
        <v>3149.9999999999995</v>
      </c>
      <c r="D201" s="4">
        <v>13</v>
      </c>
      <c r="E201" s="22">
        <f t="shared" si="3"/>
        <v>181.7307692307692</v>
      </c>
      <c r="F201" s="22">
        <f t="shared" si="4"/>
        <v>242.30769230769226</v>
      </c>
      <c r="G201" s="22">
        <f t="shared" si="5"/>
        <v>302.88461538461536</v>
      </c>
      <c r="I201" s="4">
        <v>13</v>
      </c>
      <c r="J201" s="22">
        <f t="shared" si="6"/>
        <v>181.7307692307692</v>
      </c>
      <c r="K201" s="22">
        <f t="shared" si="7"/>
        <v>242.30769230769226</v>
      </c>
      <c r="L201" s="22">
        <f t="shared" si="8"/>
        <v>286</v>
      </c>
      <c r="N201" s="4">
        <v>9</v>
      </c>
      <c r="O201" s="22" t="e">
        <f>O$202+((O$197-O$202)*1/9)</f>
        <v>#REF!</v>
      </c>
      <c r="R201" s="4">
        <v>13</v>
      </c>
      <c r="S201" s="22">
        <f t="shared" si="9"/>
        <v>181.7307692307692</v>
      </c>
      <c r="T201" s="22">
        <f t="shared" si="10"/>
        <v>242.30769230769226</v>
      </c>
      <c r="U201" s="22">
        <f t="shared" si="11"/>
        <v>286</v>
      </c>
      <c r="V201" s="22">
        <f t="shared" ca="1" si="12"/>
        <v>150.55672296963951</v>
      </c>
    </row>
    <row r="202" spans="2:22" x14ac:dyDescent="0.25">
      <c r="B202">
        <f t="shared" si="13"/>
        <v>3159.9999999999995</v>
      </c>
      <c r="D202" s="4">
        <v>14</v>
      </c>
      <c r="E202" s="22">
        <f t="shared" si="3"/>
        <v>169.28571428571428</v>
      </c>
      <c r="F202" s="22">
        <f t="shared" si="4"/>
        <v>225.71428571428569</v>
      </c>
      <c r="G202" s="22">
        <f t="shared" si="5"/>
        <v>282.14285714285711</v>
      </c>
      <c r="I202" s="4">
        <v>14</v>
      </c>
      <c r="J202" s="22">
        <f t="shared" si="6"/>
        <v>169.28571428571428</v>
      </c>
      <c r="K202" s="22">
        <f t="shared" si="7"/>
        <v>225.71428571428569</v>
      </c>
      <c r="L202" s="22">
        <f t="shared" si="8"/>
        <v>282.14285714285711</v>
      </c>
      <c r="N202" s="4">
        <v>10</v>
      </c>
      <c r="O202" s="22" t="e">
        <f>#REF!</f>
        <v>#REF!</v>
      </c>
      <c r="P202" t="s">
        <v>80</v>
      </c>
      <c r="R202" s="4">
        <v>14</v>
      </c>
      <c r="S202" s="22">
        <f t="shared" si="9"/>
        <v>169.28571428571428</v>
      </c>
      <c r="T202" s="22">
        <f t="shared" si="10"/>
        <v>225.71428571428569</v>
      </c>
      <c r="U202" s="22">
        <f t="shared" si="11"/>
        <v>282.14285714285711</v>
      </c>
      <c r="V202" s="22">
        <f t="shared" ca="1" si="12"/>
        <v>139.80267132895099</v>
      </c>
    </row>
    <row r="203" spans="2:22" x14ac:dyDescent="0.25">
      <c r="B203">
        <f t="shared" si="13"/>
        <v>3169.9999999999995</v>
      </c>
      <c r="D203" s="4">
        <v>15</v>
      </c>
      <c r="E203" s="22">
        <f t="shared" si="3"/>
        <v>158.5</v>
      </c>
      <c r="F203" s="22">
        <f t="shared" si="4"/>
        <v>211.33333333333331</v>
      </c>
      <c r="G203" s="22">
        <f t="shared" si="5"/>
        <v>264.16666666666663</v>
      </c>
      <c r="I203" s="4">
        <v>15</v>
      </c>
      <c r="J203" s="22">
        <f t="shared" si="6"/>
        <v>158.5</v>
      </c>
      <c r="K203" s="22">
        <f t="shared" si="7"/>
        <v>211.33333333333331</v>
      </c>
      <c r="L203" s="22">
        <f t="shared" si="8"/>
        <v>264.16666666666663</v>
      </c>
      <c r="N203" s="4">
        <v>11</v>
      </c>
      <c r="O203" s="22" t="e">
        <f>O$207+((O$202-O$207)*4/6)</f>
        <v>#REF!</v>
      </c>
      <c r="R203" s="4">
        <v>15</v>
      </c>
      <c r="S203" s="22">
        <f t="shared" si="9"/>
        <v>158.5</v>
      </c>
      <c r="T203" s="22">
        <f t="shared" si="10"/>
        <v>211.33333333333331</v>
      </c>
      <c r="U203" s="22">
        <f t="shared" si="11"/>
        <v>264.16666666666663</v>
      </c>
      <c r="V203" s="22">
        <f t="shared" ca="1" si="12"/>
        <v>130.48249324035424</v>
      </c>
    </row>
    <row r="204" spans="2:22" x14ac:dyDescent="0.25">
      <c r="B204">
        <f t="shared" si="13"/>
        <v>3179.9999999999995</v>
      </c>
      <c r="D204" s="4">
        <v>16</v>
      </c>
      <c r="E204" s="22">
        <f t="shared" si="3"/>
        <v>149.06249999999997</v>
      </c>
      <c r="F204" s="22">
        <f t="shared" si="4"/>
        <v>198.74999999999997</v>
      </c>
      <c r="G204" s="22">
        <f t="shared" si="5"/>
        <v>248.43749999999997</v>
      </c>
      <c r="I204" s="4">
        <v>16</v>
      </c>
      <c r="J204" s="22">
        <f t="shared" si="6"/>
        <v>149.06249999999997</v>
      </c>
      <c r="K204" s="22">
        <f t="shared" si="7"/>
        <v>198.74999999999997</v>
      </c>
      <c r="L204" s="22">
        <f t="shared" si="8"/>
        <v>248.43749999999997</v>
      </c>
      <c r="N204" s="4">
        <v>12</v>
      </c>
      <c r="O204" s="22" t="e">
        <f>O$207+((O$202-O$207)*3/7)</f>
        <v>#REF!</v>
      </c>
      <c r="R204" s="4">
        <v>16</v>
      </c>
      <c r="S204" s="22">
        <f t="shared" si="9"/>
        <v>149.06249999999997</v>
      </c>
      <c r="T204" s="22">
        <f t="shared" si="10"/>
        <v>198.74999999999997</v>
      </c>
      <c r="U204" s="22">
        <f t="shared" si="11"/>
        <v>248.43749999999997</v>
      </c>
      <c r="V204" s="22">
        <f t="shared" ca="1" si="12"/>
        <v>122.32733741283211</v>
      </c>
    </row>
    <row r="205" spans="2:22" x14ac:dyDescent="0.25">
      <c r="B205">
        <f t="shared" si="13"/>
        <v>3189.9999999999995</v>
      </c>
      <c r="D205" s="4">
        <v>17</v>
      </c>
      <c r="E205" s="22">
        <f t="shared" si="3"/>
        <v>140.73529411764704</v>
      </c>
      <c r="F205" s="22">
        <f t="shared" si="4"/>
        <v>187.64705882352939</v>
      </c>
      <c r="G205" s="22">
        <f t="shared" si="5"/>
        <v>234.55882352941174</v>
      </c>
      <c r="I205" s="4">
        <v>17</v>
      </c>
      <c r="J205" s="22">
        <f t="shared" si="6"/>
        <v>140.73529411764704</v>
      </c>
      <c r="K205" s="22">
        <f t="shared" si="7"/>
        <v>187.64705882352939</v>
      </c>
      <c r="L205" s="22">
        <f t="shared" si="8"/>
        <v>234.55882352941174</v>
      </c>
      <c r="N205" s="4">
        <v>13</v>
      </c>
      <c r="O205" s="22" t="e">
        <f>O$207+((O$202-O$207)*2/8)</f>
        <v>#REF!</v>
      </c>
      <c r="R205" s="4">
        <v>17</v>
      </c>
      <c r="S205" s="22">
        <f t="shared" si="9"/>
        <v>140.73529411764704</v>
      </c>
      <c r="T205" s="22">
        <f t="shared" si="10"/>
        <v>187.64705882352939</v>
      </c>
      <c r="U205" s="22">
        <f t="shared" si="11"/>
        <v>234.55882352941174</v>
      </c>
      <c r="V205" s="22">
        <f t="shared" ca="1" si="12"/>
        <v>115.13161168266551</v>
      </c>
    </row>
    <row r="206" spans="2:22" x14ac:dyDescent="0.25">
      <c r="B206">
        <f t="shared" si="13"/>
        <v>3199.9999999999995</v>
      </c>
      <c r="D206" s="4">
        <v>18</v>
      </c>
      <c r="E206" s="22">
        <f t="shared" ref="E206:E268" si="14">(1-$F$276)*F206</f>
        <v>133.33333333333331</v>
      </c>
      <c r="F206" s="22">
        <f t="shared" si="4"/>
        <v>177.77777777777774</v>
      </c>
      <c r="G206" s="22">
        <f t="shared" ref="G206:G268" si="15">F206*(1+$F$276)</f>
        <v>222.22222222222217</v>
      </c>
      <c r="I206" s="4">
        <v>18</v>
      </c>
      <c r="J206" s="22">
        <f t="shared" ref="J206:J268" si="16">IF(E206&gt;$F$175,$F$175,E206)</f>
        <v>133.33333333333331</v>
      </c>
      <c r="K206" s="22">
        <f t="shared" ref="K206:K268" si="17">IF(F206&gt;$F$176,$F$176,F206)</f>
        <v>177.77777777777774</v>
      </c>
      <c r="L206" s="22">
        <f t="shared" ref="L206:L268" si="18">IF(G206&gt;$F$177,$F$177,G206)</f>
        <v>222.22222222222217</v>
      </c>
      <c r="N206" s="4">
        <v>14</v>
      </c>
      <c r="O206" s="22" t="e">
        <f>O$207+((O$202-O$207)*1/9)</f>
        <v>#REF!</v>
      </c>
      <c r="R206" s="4">
        <v>18</v>
      </c>
      <c r="S206" s="22">
        <f t="shared" ref="S206:S208" si="19">IF($R206&gt;$F$173,0.0000000005,J206)</f>
        <v>133.33333333333331</v>
      </c>
      <c r="T206" s="22">
        <f t="shared" ref="T206:T208" si="20">IF($R206&gt;$F$173,0.0000000005,K206)</f>
        <v>177.77777777777774</v>
      </c>
      <c r="U206" s="22">
        <f t="shared" ref="U206:U208" si="21">IF($R206&gt;$F$173,0.0000000005,L206)</f>
        <v>222.22222222222217</v>
      </c>
      <c r="V206" s="22">
        <f t="shared" ref="V206:V208" ca="1" si="22">$X$189/R206</f>
        <v>108.73541103362854</v>
      </c>
    </row>
    <row r="207" spans="2:22" x14ac:dyDescent="0.25">
      <c r="B207">
        <f t="shared" si="13"/>
        <v>3209.9999999999995</v>
      </c>
      <c r="D207" s="4">
        <v>19</v>
      </c>
      <c r="E207" s="22">
        <f t="shared" si="14"/>
        <v>126.71052631578945</v>
      </c>
      <c r="F207" s="22">
        <f t="shared" si="4"/>
        <v>168.9473684210526</v>
      </c>
      <c r="G207" s="22">
        <f t="shared" si="15"/>
        <v>211.18421052631575</v>
      </c>
      <c r="I207" s="4">
        <v>19</v>
      </c>
      <c r="J207" s="22">
        <f t="shared" si="16"/>
        <v>126.71052631578945</v>
      </c>
      <c r="K207" s="22">
        <f t="shared" si="17"/>
        <v>168.9473684210526</v>
      </c>
      <c r="L207" s="22">
        <f t="shared" si="18"/>
        <v>211.18421052631575</v>
      </c>
      <c r="N207" s="4">
        <v>15</v>
      </c>
      <c r="O207" s="22" t="e">
        <f>#REF!</f>
        <v>#REF!</v>
      </c>
      <c r="P207" t="s">
        <v>80</v>
      </c>
      <c r="R207" s="4">
        <v>19</v>
      </c>
      <c r="S207" s="22">
        <f t="shared" si="19"/>
        <v>126.71052631578945</v>
      </c>
      <c r="T207" s="22">
        <f t="shared" si="20"/>
        <v>168.9473684210526</v>
      </c>
      <c r="U207" s="22">
        <f t="shared" si="21"/>
        <v>211.18421052631575</v>
      </c>
      <c r="V207" s="22">
        <f t="shared" ca="1" si="22"/>
        <v>103.01249466343756</v>
      </c>
    </row>
    <row r="208" spans="2:22" x14ac:dyDescent="0.25">
      <c r="B208">
        <f t="shared" si="13"/>
        <v>3219.9999999999995</v>
      </c>
      <c r="D208" s="4">
        <v>20</v>
      </c>
      <c r="E208" s="22">
        <f t="shared" si="14"/>
        <v>120.74999999999997</v>
      </c>
      <c r="F208" s="22">
        <f t="shared" si="4"/>
        <v>160.99999999999997</v>
      </c>
      <c r="G208" s="22">
        <f t="shared" si="15"/>
        <v>201.24999999999997</v>
      </c>
      <c r="I208" s="4">
        <v>20</v>
      </c>
      <c r="J208" s="22">
        <f t="shared" si="16"/>
        <v>120.74999999999997</v>
      </c>
      <c r="K208" s="22">
        <f t="shared" si="17"/>
        <v>160.99999999999997</v>
      </c>
      <c r="L208" s="22">
        <f t="shared" si="18"/>
        <v>201.24999999999997</v>
      </c>
      <c r="N208" s="4">
        <v>16</v>
      </c>
      <c r="O208" s="22" t="e">
        <f>O$212+((O$207-O$212)*4/6)</f>
        <v>#REF!</v>
      </c>
      <c r="R208" s="4">
        <v>20</v>
      </c>
      <c r="S208" s="22">
        <f t="shared" si="19"/>
        <v>120.74999999999997</v>
      </c>
      <c r="T208" s="22">
        <f t="shared" si="20"/>
        <v>160.99999999999997</v>
      </c>
      <c r="U208" s="22">
        <f t="shared" si="21"/>
        <v>201.24999999999997</v>
      </c>
      <c r="V208" s="22">
        <f t="shared" ca="1" si="22"/>
        <v>97.861869930265684</v>
      </c>
    </row>
    <row r="209" spans="2:22" x14ac:dyDescent="0.25">
      <c r="B209">
        <f t="shared" si="13"/>
        <v>3229.9999999999995</v>
      </c>
      <c r="D209" s="4">
        <v>21</v>
      </c>
      <c r="E209" s="22">
        <f t="shared" si="14"/>
        <v>115.35714285714285</v>
      </c>
      <c r="F209" s="22">
        <f t="shared" si="4"/>
        <v>153.8095238095238</v>
      </c>
      <c r="G209" s="22">
        <f t="shared" si="15"/>
        <v>192.26190476190476</v>
      </c>
      <c r="I209" s="4">
        <v>21</v>
      </c>
      <c r="J209" s="22">
        <f t="shared" si="16"/>
        <v>115.35714285714285</v>
      </c>
      <c r="K209" s="22">
        <f t="shared" si="17"/>
        <v>153.8095238095238</v>
      </c>
      <c r="L209" s="22">
        <f t="shared" si="18"/>
        <v>192.26190476190476</v>
      </c>
      <c r="N209" s="4">
        <v>17</v>
      </c>
      <c r="O209" s="22" t="e">
        <f>O$212+((O$207-O$212)*3/7)</f>
        <v>#REF!</v>
      </c>
      <c r="R209" s="4">
        <v>21</v>
      </c>
      <c r="S209" s="22">
        <f t="shared" ref="S209:S224" si="23">IF($R209&gt;$F$173,0.0000000005,J209)</f>
        <v>115.35714285714285</v>
      </c>
      <c r="T209" s="22">
        <f t="shared" ref="T209:T224" si="24">IF($R209&gt;$F$173,0.0000000005,K209)</f>
        <v>153.8095238095238</v>
      </c>
      <c r="U209" s="22">
        <f t="shared" ref="U209:U224" si="25">IF($R209&gt;$F$173,0.0000000005,L209)</f>
        <v>192.26190476190476</v>
      </c>
      <c r="V209" s="22">
        <f t="shared" ref="V209:V245" ca="1" si="26">$X$189/R209</f>
        <v>93.201780885967324</v>
      </c>
    </row>
    <row r="210" spans="2:22" x14ac:dyDescent="0.25">
      <c r="B210">
        <f t="shared" si="13"/>
        <v>3239.9999999999995</v>
      </c>
      <c r="D210" s="4">
        <v>22</v>
      </c>
      <c r="E210" s="22">
        <f t="shared" si="14"/>
        <v>110.45454545454544</v>
      </c>
      <c r="F210" s="22">
        <f t="shared" si="4"/>
        <v>147.27272727272725</v>
      </c>
      <c r="G210" s="22">
        <f t="shared" si="15"/>
        <v>184.09090909090907</v>
      </c>
      <c r="I210" s="4">
        <v>22</v>
      </c>
      <c r="J210" s="22">
        <f t="shared" si="16"/>
        <v>110.45454545454544</v>
      </c>
      <c r="K210" s="22">
        <f t="shared" si="17"/>
        <v>147.27272727272725</v>
      </c>
      <c r="L210" s="22">
        <f t="shared" si="18"/>
        <v>184.09090909090907</v>
      </c>
      <c r="N210" s="4">
        <v>18</v>
      </c>
      <c r="O210" s="22" t="e">
        <f>O$212+((O$207-O$212)*2/8)</f>
        <v>#REF!</v>
      </c>
      <c r="R210" s="4">
        <v>22</v>
      </c>
      <c r="S210" s="22">
        <f t="shared" si="23"/>
        <v>110.45454545454544</v>
      </c>
      <c r="T210" s="22">
        <f t="shared" si="24"/>
        <v>147.27272727272725</v>
      </c>
      <c r="U210" s="22">
        <f t="shared" si="25"/>
        <v>184.09090909090907</v>
      </c>
      <c r="V210" s="22">
        <f t="shared" ca="1" si="26"/>
        <v>88.965336300241532</v>
      </c>
    </row>
    <row r="211" spans="2:22" x14ac:dyDescent="0.25">
      <c r="B211">
        <f t="shared" si="13"/>
        <v>3249.9999999999995</v>
      </c>
      <c r="D211" s="4">
        <v>23</v>
      </c>
      <c r="E211" s="22">
        <f t="shared" si="14"/>
        <v>105.9782608695652</v>
      </c>
      <c r="F211" s="22">
        <f t="shared" si="4"/>
        <v>141.30434782608694</v>
      </c>
      <c r="G211" s="22">
        <f t="shared" si="15"/>
        <v>176.63043478260869</v>
      </c>
      <c r="I211" s="4">
        <v>23</v>
      </c>
      <c r="J211" s="22">
        <f t="shared" si="16"/>
        <v>105.9782608695652</v>
      </c>
      <c r="K211" s="22">
        <f t="shared" si="17"/>
        <v>141.30434782608694</v>
      </c>
      <c r="L211" s="22">
        <f t="shared" si="18"/>
        <v>176.63043478260869</v>
      </c>
      <c r="N211" s="4">
        <v>19</v>
      </c>
      <c r="O211" s="22" t="e">
        <f>O$212+((O$207-O$212)*1/9)</f>
        <v>#REF!</v>
      </c>
      <c r="R211" s="4">
        <v>23</v>
      </c>
      <c r="S211" s="22">
        <f t="shared" si="23"/>
        <v>105.9782608695652</v>
      </c>
      <c r="T211" s="22">
        <f t="shared" si="24"/>
        <v>141.30434782608694</v>
      </c>
      <c r="U211" s="22">
        <f t="shared" si="25"/>
        <v>176.63043478260869</v>
      </c>
      <c r="V211" s="22">
        <f t="shared" ca="1" si="26"/>
        <v>85.097278200231031</v>
      </c>
    </row>
    <row r="212" spans="2:22" x14ac:dyDescent="0.25">
      <c r="B212">
        <f t="shared" si="13"/>
        <v>3259.9999999999995</v>
      </c>
      <c r="D212" s="4">
        <v>24</v>
      </c>
      <c r="E212" s="22">
        <f t="shared" si="14"/>
        <v>101.87499999999999</v>
      </c>
      <c r="F212" s="22">
        <f t="shared" si="4"/>
        <v>135.83333333333331</v>
      </c>
      <c r="G212" s="22">
        <f t="shared" si="15"/>
        <v>169.79166666666663</v>
      </c>
      <c r="I212" s="4">
        <v>24</v>
      </c>
      <c r="J212" s="22">
        <f t="shared" si="16"/>
        <v>101.87499999999999</v>
      </c>
      <c r="K212" s="22">
        <f t="shared" si="17"/>
        <v>135.83333333333331</v>
      </c>
      <c r="L212" s="22">
        <f t="shared" si="18"/>
        <v>169.79166666666663</v>
      </c>
      <c r="N212" s="4">
        <v>20</v>
      </c>
      <c r="O212" s="22" t="e">
        <f>#REF!</f>
        <v>#REF!</v>
      </c>
      <c r="P212" t="s">
        <v>80</v>
      </c>
      <c r="R212" s="4">
        <v>24</v>
      </c>
      <c r="S212" s="22">
        <f t="shared" si="23"/>
        <v>101.87499999999999</v>
      </c>
      <c r="T212" s="22">
        <f t="shared" si="24"/>
        <v>135.83333333333331</v>
      </c>
      <c r="U212" s="22">
        <f t="shared" si="25"/>
        <v>169.79166666666663</v>
      </c>
      <c r="V212" s="22">
        <f t="shared" ca="1" si="26"/>
        <v>81.55155827522141</v>
      </c>
    </row>
    <row r="213" spans="2:22" x14ac:dyDescent="0.25">
      <c r="B213">
        <f t="shared" si="13"/>
        <v>3269.9999999999995</v>
      </c>
      <c r="D213" s="4">
        <v>25</v>
      </c>
      <c r="E213" s="22">
        <f t="shared" si="14"/>
        <v>98.1</v>
      </c>
      <c r="F213" s="22">
        <f t="shared" si="4"/>
        <v>130.79999999999998</v>
      </c>
      <c r="G213" s="22">
        <f t="shared" si="15"/>
        <v>163.49999999999997</v>
      </c>
      <c r="I213" s="4">
        <v>25</v>
      </c>
      <c r="J213" s="22">
        <f t="shared" si="16"/>
        <v>98.1</v>
      </c>
      <c r="K213" s="22">
        <f t="shared" si="17"/>
        <v>130.79999999999998</v>
      </c>
      <c r="L213" s="22">
        <f t="shared" si="18"/>
        <v>163.49999999999997</v>
      </c>
      <c r="R213" s="4">
        <v>25</v>
      </c>
      <c r="S213" s="22">
        <f t="shared" si="23"/>
        <v>98.1</v>
      </c>
      <c r="T213" s="22">
        <f t="shared" si="24"/>
        <v>130.79999999999998</v>
      </c>
      <c r="U213" s="22">
        <f t="shared" si="25"/>
        <v>163.49999999999997</v>
      </c>
      <c r="V213" s="22">
        <f t="shared" ca="1" si="26"/>
        <v>78.289495944212547</v>
      </c>
    </row>
    <row r="214" spans="2:22" x14ac:dyDescent="0.25">
      <c r="B214">
        <f t="shared" si="13"/>
        <v>3279.9999999999995</v>
      </c>
      <c r="D214" s="4">
        <v>26</v>
      </c>
      <c r="E214" s="22">
        <f t="shared" si="14"/>
        <v>94.615384615384599</v>
      </c>
      <c r="F214" s="22">
        <f t="shared" si="4"/>
        <v>126.15384615384613</v>
      </c>
      <c r="G214" s="22">
        <f t="shared" si="15"/>
        <v>157.69230769230768</v>
      </c>
      <c r="I214" s="4">
        <v>26</v>
      </c>
      <c r="J214" s="22">
        <f t="shared" si="16"/>
        <v>94.615384615384599</v>
      </c>
      <c r="K214" s="22">
        <f t="shared" si="17"/>
        <v>126.15384615384613</v>
      </c>
      <c r="L214" s="22">
        <f t="shared" si="18"/>
        <v>157.69230769230768</v>
      </c>
      <c r="R214" s="4">
        <v>26</v>
      </c>
      <c r="S214" s="22">
        <f t="shared" si="23"/>
        <v>94.615384615384599</v>
      </c>
      <c r="T214" s="22">
        <f t="shared" si="24"/>
        <v>126.15384615384613</v>
      </c>
      <c r="U214" s="22">
        <f t="shared" si="25"/>
        <v>157.69230769230768</v>
      </c>
      <c r="V214" s="22">
        <f t="shared" ca="1" si="26"/>
        <v>75.278361484819754</v>
      </c>
    </row>
    <row r="215" spans="2:22" x14ac:dyDescent="0.25">
      <c r="B215">
        <f t="shared" si="13"/>
        <v>3289.9999999999995</v>
      </c>
      <c r="D215" s="4">
        <v>27</v>
      </c>
      <c r="E215" s="22">
        <f t="shared" si="14"/>
        <v>91.388888888888872</v>
      </c>
      <c r="F215" s="22">
        <f t="shared" si="4"/>
        <v>121.85185185185183</v>
      </c>
      <c r="G215" s="22">
        <f t="shared" si="15"/>
        <v>152.31481481481478</v>
      </c>
      <c r="I215" s="4">
        <v>27</v>
      </c>
      <c r="J215" s="22">
        <f t="shared" si="16"/>
        <v>91.388888888888872</v>
      </c>
      <c r="K215" s="22">
        <f t="shared" si="17"/>
        <v>121.85185185185183</v>
      </c>
      <c r="L215" s="22">
        <f t="shared" si="18"/>
        <v>152.31481481481478</v>
      </c>
      <c r="R215" s="4">
        <v>27</v>
      </c>
      <c r="S215" s="22">
        <f t="shared" si="23"/>
        <v>91.388888888888872</v>
      </c>
      <c r="T215" s="22">
        <f t="shared" si="24"/>
        <v>121.85185185185183</v>
      </c>
      <c r="U215" s="22">
        <f t="shared" si="25"/>
        <v>152.31481481481478</v>
      </c>
      <c r="V215" s="22">
        <f t="shared" ca="1" si="26"/>
        <v>72.49027402241903</v>
      </c>
    </row>
    <row r="216" spans="2:22" x14ac:dyDescent="0.25">
      <c r="B216">
        <f t="shared" si="13"/>
        <v>3299.9999999999995</v>
      </c>
      <c r="D216" s="4">
        <v>28</v>
      </c>
      <c r="E216" s="22">
        <f t="shared" si="14"/>
        <v>88.392857142857139</v>
      </c>
      <c r="F216" s="22">
        <f t="shared" si="4"/>
        <v>117.85714285714285</v>
      </c>
      <c r="G216" s="22">
        <f t="shared" si="15"/>
        <v>147.32142857142856</v>
      </c>
      <c r="I216" s="4">
        <v>28</v>
      </c>
      <c r="J216" s="22">
        <f t="shared" si="16"/>
        <v>88.392857142857139</v>
      </c>
      <c r="K216" s="22">
        <f t="shared" si="17"/>
        <v>117.85714285714285</v>
      </c>
      <c r="L216" s="22">
        <f t="shared" si="18"/>
        <v>147.32142857142856</v>
      </c>
      <c r="R216" s="4">
        <v>28</v>
      </c>
      <c r="S216" s="22">
        <f t="shared" si="23"/>
        <v>88.392857142857139</v>
      </c>
      <c r="T216" s="22">
        <f t="shared" si="24"/>
        <v>117.85714285714285</v>
      </c>
      <c r="U216" s="22">
        <f t="shared" si="25"/>
        <v>147.32142857142856</v>
      </c>
      <c r="V216" s="22">
        <f t="shared" ca="1" si="26"/>
        <v>69.901335664475496</v>
      </c>
    </row>
    <row r="217" spans="2:22" x14ac:dyDescent="0.25">
      <c r="B217">
        <f t="shared" si="13"/>
        <v>3309.9999999999995</v>
      </c>
      <c r="D217" s="4">
        <v>29</v>
      </c>
      <c r="E217" s="22">
        <f t="shared" si="14"/>
        <v>85.603448275862064</v>
      </c>
      <c r="F217" s="22">
        <f t="shared" si="4"/>
        <v>114.13793103448275</v>
      </c>
      <c r="G217" s="22">
        <f t="shared" si="15"/>
        <v>142.67241379310343</v>
      </c>
      <c r="I217" s="4">
        <v>29</v>
      </c>
      <c r="J217" s="22">
        <f t="shared" si="16"/>
        <v>85.603448275862064</v>
      </c>
      <c r="K217" s="22">
        <f t="shared" si="17"/>
        <v>114.13793103448275</v>
      </c>
      <c r="L217" s="22">
        <f t="shared" si="18"/>
        <v>142.67241379310343</v>
      </c>
      <c r="R217" s="4">
        <v>29</v>
      </c>
      <c r="S217" s="22">
        <f t="shared" si="23"/>
        <v>85.603448275862064</v>
      </c>
      <c r="T217" s="22">
        <f t="shared" si="24"/>
        <v>114.13793103448275</v>
      </c>
      <c r="U217" s="22">
        <f t="shared" si="25"/>
        <v>142.67241379310343</v>
      </c>
      <c r="V217" s="22">
        <f t="shared" ca="1" si="26"/>
        <v>67.490944779493574</v>
      </c>
    </row>
    <row r="218" spans="2:22" x14ac:dyDescent="0.25">
      <c r="B218">
        <f t="shared" si="13"/>
        <v>3319.9999999999995</v>
      </c>
      <c r="D218" s="4">
        <v>30</v>
      </c>
      <c r="E218" s="22">
        <f t="shared" si="14"/>
        <v>83</v>
      </c>
      <c r="F218" s="22">
        <f t="shared" si="4"/>
        <v>110.66666666666666</v>
      </c>
      <c r="G218" s="22">
        <f t="shared" si="15"/>
        <v>138.33333333333331</v>
      </c>
      <c r="I218" s="4">
        <v>30</v>
      </c>
      <c r="J218" s="22">
        <f t="shared" si="16"/>
        <v>83</v>
      </c>
      <c r="K218" s="22">
        <f t="shared" si="17"/>
        <v>110.66666666666666</v>
      </c>
      <c r="L218" s="22">
        <f t="shared" si="18"/>
        <v>138.33333333333331</v>
      </c>
      <c r="R218" s="4">
        <v>30</v>
      </c>
      <c r="S218" s="22">
        <f t="shared" si="23"/>
        <v>83</v>
      </c>
      <c r="T218" s="22">
        <f t="shared" si="24"/>
        <v>110.66666666666666</v>
      </c>
      <c r="U218" s="22">
        <f t="shared" si="25"/>
        <v>138.33333333333331</v>
      </c>
      <c r="V218" s="22">
        <f t="shared" ca="1" si="26"/>
        <v>65.241246620177122</v>
      </c>
    </row>
    <row r="219" spans="2:22" x14ac:dyDescent="0.25">
      <c r="B219">
        <f t="shared" si="13"/>
        <v>3329.9999999999995</v>
      </c>
      <c r="D219" s="4">
        <v>31</v>
      </c>
      <c r="E219" s="22">
        <f t="shared" si="14"/>
        <v>80.564516129032256</v>
      </c>
      <c r="F219" s="22">
        <f t="shared" si="4"/>
        <v>107.41935483870967</v>
      </c>
      <c r="G219" s="22">
        <f t="shared" si="15"/>
        <v>134.27419354838707</v>
      </c>
      <c r="I219" s="4">
        <v>31</v>
      </c>
      <c r="J219" s="22">
        <f t="shared" si="16"/>
        <v>80.564516129032256</v>
      </c>
      <c r="K219" s="22">
        <f t="shared" si="17"/>
        <v>107.41935483870967</v>
      </c>
      <c r="L219" s="22">
        <f t="shared" si="18"/>
        <v>134.27419354838707</v>
      </c>
      <c r="R219" s="4">
        <v>31</v>
      </c>
      <c r="S219" s="22">
        <f t="shared" si="23"/>
        <v>80.564516129032256</v>
      </c>
      <c r="T219" s="22">
        <f t="shared" si="24"/>
        <v>107.41935483870967</v>
      </c>
      <c r="U219" s="22">
        <f t="shared" si="25"/>
        <v>134.27419354838707</v>
      </c>
      <c r="V219" s="22">
        <f t="shared" ca="1" si="26"/>
        <v>63.136690277590766</v>
      </c>
    </row>
    <row r="220" spans="2:22" x14ac:dyDescent="0.25">
      <c r="B220">
        <f t="shared" si="13"/>
        <v>3339.9999999999995</v>
      </c>
      <c r="D220" s="4">
        <v>32</v>
      </c>
      <c r="E220" s="22">
        <f t="shared" si="14"/>
        <v>78.281249999999986</v>
      </c>
      <c r="F220" s="22">
        <f t="shared" si="4"/>
        <v>104.37499999999999</v>
      </c>
      <c r="G220" s="22">
        <f t="shared" si="15"/>
        <v>130.46874999999997</v>
      </c>
      <c r="I220" s="4">
        <v>32</v>
      </c>
      <c r="J220" s="22">
        <f t="shared" si="16"/>
        <v>78.281249999999986</v>
      </c>
      <c r="K220" s="22">
        <f t="shared" si="17"/>
        <v>104.37499999999999</v>
      </c>
      <c r="L220" s="22">
        <f t="shared" si="18"/>
        <v>130.46874999999997</v>
      </c>
      <c r="R220" s="4">
        <v>32</v>
      </c>
      <c r="S220" s="22">
        <f t="shared" si="23"/>
        <v>78.281249999999986</v>
      </c>
      <c r="T220" s="22">
        <f t="shared" si="24"/>
        <v>104.37499999999999</v>
      </c>
      <c r="U220" s="22">
        <f t="shared" si="25"/>
        <v>130.46874999999997</v>
      </c>
      <c r="V220" s="22">
        <f t="shared" ca="1" si="26"/>
        <v>61.163668706416054</v>
      </c>
    </row>
    <row r="221" spans="2:22" x14ac:dyDescent="0.25">
      <c r="B221">
        <f t="shared" si="13"/>
        <v>3349.9999999999995</v>
      </c>
      <c r="D221" s="4">
        <v>33</v>
      </c>
      <c r="E221" s="22">
        <f t="shared" si="14"/>
        <v>76.136363636363626</v>
      </c>
      <c r="F221" s="22">
        <f t="shared" ref="F221:F252" si="27">($F$180+(D221-VINMAX)*$E$273/$E$274)/D221</f>
        <v>101.5151515151515</v>
      </c>
      <c r="G221" s="22">
        <f t="shared" si="15"/>
        <v>126.89393939393938</v>
      </c>
      <c r="I221" s="4">
        <v>33</v>
      </c>
      <c r="J221" s="22">
        <f t="shared" si="16"/>
        <v>76.136363636363626</v>
      </c>
      <c r="K221" s="22">
        <f t="shared" si="17"/>
        <v>101.5151515151515</v>
      </c>
      <c r="L221" s="22">
        <f t="shared" si="18"/>
        <v>126.89393939393938</v>
      </c>
      <c r="R221" s="4">
        <v>33</v>
      </c>
      <c r="S221" s="22">
        <f t="shared" si="23"/>
        <v>76.136363636363626</v>
      </c>
      <c r="T221" s="22">
        <f t="shared" si="24"/>
        <v>101.5151515151515</v>
      </c>
      <c r="U221" s="22">
        <f t="shared" si="25"/>
        <v>126.89393939393938</v>
      </c>
      <c r="V221" s="22">
        <f t="shared" ca="1" si="26"/>
        <v>59.310224200161024</v>
      </c>
    </row>
    <row r="222" spans="2:22" x14ac:dyDescent="0.25">
      <c r="B222">
        <f t="shared" si="13"/>
        <v>3359.9999999999995</v>
      </c>
      <c r="D222" s="4">
        <v>34</v>
      </c>
      <c r="E222" s="22">
        <f t="shared" si="14"/>
        <v>74.117647058823522</v>
      </c>
      <c r="F222" s="22">
        <f t="shared" si="27"/>
        <v>98.823529411764696</v>
      </c>
      <c r="G222" s="22">
        <f t="shared" si="15"/>
        <v>123.52941176470587</v>
      </c>
      <c r="I222" s="4">
        <v>34</v>
      </c>
      <c r="J222" s="22">
        <f t="shared" si="16"/>
        <v>74.117647058823522</v>
      </c>
      <c r="K222" s="22">
        <f t="shared" si="17"/>
        <v>98.823529411764696</v>
      </c>
      <c r="L222" s="22">
        <f t="shared" si="18"/>
        <v>123.52941176470587</v>
      </c>
      <c r="R222" s="4">
        <v>34</v>
      </c>
      <c r="S222" s="22">
        <f t="shared" si="23"/>
        <v>74.117647058823522</v>
      </c>
      <c r="T222" s="22">
        <f t="shared" si="24"/>
        <v>98.823529411764696</v>
      </c>
      <c r="U222" s="22">
        <f t="shared" si="25"/>
        <v>123.52941176470587</v>
      </c>
      <c r="V222" s="22">
        <f t="shared" ca="1" si="26"/>
        <v>57.565805841332754</v>
      </c>
    </row>
    <row r="223" spans="2:22" x14ac:dyDescent="0.25">
      <c r="B223">
        <f t="shared" si="13"/>
        <v>3369.9999999999995</v>
      </c>
      <c r="D223" s="4">
        <v>35</v>
      </c>
      <c r="E223" s="22">
        <f t="shared" si="14"/>
        <v>72.214285714285708</v>
      </c>
      <c r="F223" s="22">
        <f t="shared" si="27"/>
        <v>96.285714285714278</v>
      </c>
      <c r="G223" s="22">
        <f t="shared" si="15"/>
        <v>120.35714285714285</v>
      </c>
      <c r="I223" s="4">
        <v>35</v>
      </c>
      <c r="J223" s="22">
        <f t="shared" si="16"/>
        <v>72.214285714285708</v>
      </c>
      <c r="K223" s="22">
        <f t="shared" si="17"/>
        <v>96.285714285714278</v>
      </c>
      <c r="L223" s="22">
        <f t="shared" si="18"/>
        <v>120.35714285714285</v>
      </c>
      <c r="R223" s="4">
        <v>35</v>
      </c>
      <c r="S223" s="22">
        <f t="shared" si="23"/>
        <v>72.214285714285708</v>
      </c>
      <c r="T223" s="22">
        <f t="shared" si="24"/>
        <v>96.285714285714278</v>
      </c>
      <c r="U223" s="22">
        <f t="shared" si="25"/>
        <v>120.35714285714285</v>
      </c>
      <c r="V223" s="22">
        <f t="shared" ca="1" si="26"/>
        <v>55.921068531580396</v>
      </c>
    </row>
    <row r="224" spans="2:22" x14ac:dyDescent="0.25">
      <c r="B224">
        <f t="shared" si="13"/>
        <v>3379.9999999999995</v>
      </c>
      <c r="D224" s="4">
        <v>36</v>
      </c>
      <c r="E224" s="22">
        <f t="shared" si="14"/>
        <v>70.416666666666657</v>
      </c>
      <c r="F224" s="22">
        <f t="shared" si="27"/>
        <v>93.888888888888872</v>
      </c>
      <c r="G224" s="22">
        <f t="shared" si="15"/>
        <v>117.36111111111109</v>
      </c>
      <c r="I224" s="4">
        <v>36</v>
      </c>
      <c r="J224" s="22">
        <f t="shared" si="16"/>
        <v>70.416666666666657</v>
      </c>
      <c r="K224" s="22">
        <f t="shared" si="17"/>
        <v>93.888888888888872</v>
      </c>
      <c r="L224" s="22">
        <f t="shared" si="18"/>
        <v>117.36111111111109</v>
      </c>
      <c r="R224" s="4">
        <v>36</v>
      </c>
      <c r="S224" s="22">
        <f t="shared" si="23"/>
        <v>70.416666666666657</v>
      </c>
      <c r="T224" s="22">
        <f t="shared" si="24"/>
        <v>93.888888888888872</v>
      </c>
      <c r="U224" s="22">
        <f t="shared" si="25"/>
        <v>117.36111111111109</v>
      </c>
      <c r="V224" s="22">
        <f t="shared" ca="1" si="26"/>
        <v>54.367705516814269</v>
      </c>
    </row>
    <row r="225" spans="2:22" x14ac:dyDescent="0.25">
      <c r="B225">
        <f t="shared" si="13"/>
        <v>3389.9999999999995</v>
      </c>
      <c r="D225" s="4">
        <v>37</v>
      </c>
      <c r="E225" s="22">
        <f t="shared" si="14"/>
        <v>68.71621621621621</v>
      </c>
      <c r="F225" s="22">
        <f t="shared" si="27"/>
        <v>91.621621621621614</v>
      </c>
      <c r="G225" s="22">
        <f t="shared" si="15"/>
        <v>114.52702702702702</v>
      </c>
      <c r="I225" s="4">
        <v>37</v>
      </c>
      <c r="J225" s="22">
        <f t="shared" si="16"/>
        <v>68.71621621621621</v>
      </c>
      <c r="K225" s="22">
        <f t="shared" si="17"/>
        <v>91.621621621621614</v>
      </c>
      <c r="L225" s="22">
        <f t="shared" si="18"/>
        <v>114.52702702702702</v>
      </c>
      <c r="R225" s="4">
        <v>37</v>
      </c>
      <c r="S225" s="22">
        <f t="shared" ref="S225:S229" si="28">IF($R225&gt;$F$173,0.0000000005,J225)</f>
        <v>68.71621621621621</v>
      </c>
      <c r="T225" s="22">
        <f t="shared" ref="T225:T229" si="29">IF($R225&gt;$F$173,0.0000000005,K225)</f>
        <v>91.621621621621614</v>
      </c>
      <c r="U225" s="22">
        <f t="shared" ref="U225:U229" si="30">IF($R225&gt;$F$173,0.0000000005,L225)</f>
        <v>114.52702702702702</v>
      </c>
      <c r="V225" s="22">
        <f t="shared" ref="V225:V229" ca="1" si="31">$X$189/R225</f>
        <v>52.898308070413883</v>
      </c>
    </row>
    <row r="226" spans="2:22" x14ac:dyDescent="0.25">
      <c r="B226">
        <f t="shared" si="13"/>
        <v>3399.9999999999995</v>
      </c>
      <c r="D226" s="4">
        <v>38</v>
      </c>
      <c r="E226" s="22">
        <f t="shared" si="14"/>
        <v>67.105263157894726</v>
      </c>
      <c r="F226" s="22">
        <f t="shared" si="27"/>
        <v>89.473684210526301</v>
      </c>
      <c r="G226" s="22">
        <f t="shared" si="15"/>
        <v>111.84210526315788</v>
      </c>
      <c r="I226" s="4">
        <v>38</v>
      </c>
      <c r="J226" s="22">
        <f t="shared" si="16"/>
        <v>67.105263157894726</v>
      </c>
      <c r="K226" s="22">
        <f t="shared" si="17"/>
        <v>89.473684210526301</v>
      </c>
      <c r="L226" s="22">
        <f t="shared" si="18"/>
        <v>111.84210526315788</v>
      </c>
      <c r="R226" s="4">
        <v>38</v>
      </c>
      <c r="S226" s="22">
        <f t="shared" si="28"/>
        <v>67.105263157894726</v>
      </c>
      <c r="T226" s="22">
        <f t="shared" si="29"/>
        <v>89.473684210526301</v>
      </c>
      <c r="U226" s="22">
        <f t="shared" si="30"/>
        <v>111.84210526315788</v>
      </c>
      <c r="V226" s="22">
        <f t="shared" ca="1" si="31"/>
        <v>51.506247331718782</v>
      </c>
    </row>
    <row r="227" spans="2:22" x14ac:dyDescent="0.25">
      <c r="B227">
        <f t="shared" si="13"/>
        <v>3410</v>
      </c>
      <c r="D227" s="4">
        <v>39</v>
      </c>
      <c r="E227" s="22">
        <f t="shared" si="14"/>
        <v>65.576923076923066</v>
      </c>
      <c r="F227" s="22">
        <f t="shared" si="27"/>
        <v>87.435897435897431</v>
      </c>
      <c r="G227" s="22">
        <f t="shared" si="15"/>
        <v>109.2948717948718</v>
      </c>
      <c r="I227" s="4">
        <v>39</v>
      </c>
      <c r="J227" s="22">
        <f t="shared" si="16"/>
        <v>65.576923076923066</v>
      </c>
      <c r="K227" s="22">
        <f t="shared" si="17"/>
        <v>87.435897435897431</v>
      </c>
      <c r="L227" s="22">
        <f t="shared" si="18"/>
        <v>109.2948717948718</v>
      </c>
      <c r="R227" s="4">
        <v>39</v>
      </c>
      <c r="S227" s="22">
        <f t="shared" si="28"/>
        <v>65.576923076923066</v>
      </c>
      <c r="T227" s="22">
        <f t="shared" si="29"/>
        <v>87.435897435897431</v>
      </c>
      <c r="U227" s="22">
        <f t="shared" si="30"/>
        <v>109.2948717948718</v>
      </c>
      <c r="V227" s="22">
        <f t="shared" ca="1" si="31"/>
        <v>50.185574323213174</v>
      </c>
    </row>
    <row r="228" spans="2:22" x14ac:dyDescent="0.25">
      <c r="B228">
        <f t="shared" si="13"/>
        <v>3419.9999999999995</v>
      </c>
      <c r="D228" s="4">
        <v>40</v>
      </c>
      <c r="E228" s="22">
        <f t="shared" si="14"/>
        <v>64.124999999999986</v>
      </c>
      <c r="F228" s="22">
        <f t="shared" si="27"/>
        <v>85.499999999999986</v>
      </c>
      <c r="G228" s="22">
        <f t="shared" si="15"/>
        <v>106.87499999999999</v>
      </c>
      <c r="I228" s="4">
        <v>40</v>
      </c>
      <c r="J228" s="22">
        <f t="shared" si="16"/>
        <v>64.124999999999986</v>
      </c>
      <c r="K228" s="22">
        <f t="shared" si="17"/>
        <v>85.499999999999986</v>
      </c>
      <c r="L228" s="22">
        <f t="shared" si="18"/>
        <v>106.87499999999999</v>
      </c>
      <c r="R228" s="4">
        <v>40</v>
      </c>
      <c r="S228" s="22">
        <f t="shared" si="28"/>
        <v>64.124999999999986</v>
      </c>
      <c r="T228" s="22">
        <f t="shared" si="29"/>
        <v>85.499999999999986</v>
      </c>
      <c r="U228" s="22">
        <f t="shared" si="30"/>
        <v>106.87499999999999</v>
      </c>
      <c r="V228" s="22">
        <f t="shared" ca="1" si="31"/>
        <v>48.930934965132842</v>
      </c>
    </row>
    <row r="229" spans="2:22" x14ac:dyDescent="0.25">
      <c r="B229">
        <f t="shared" si="13"/>
        <v>3429.9999999999995</v>
      </c>
      <c r="D229" s="4">
        <v>41</v>
      </c>
      <c r="E229" s="22">
        <f t="shared" si="14"/>
        <v>62.743902439024382</v>
      </c>
      <c r="F229" s="22">
        <f t="shared" si="27"/>
        <v>83.658536585365837</v>
      </c>
      <c r="G229" s="22">
        <f t="shared" si="15"/>
        <v>104.57317073170729</v>
      </c>
      <c r="I229" s="4">
        <v>41</v>
      </c>
      <c r="J229" s="22">
        <f t="shared" si="16"/>
        <v>62.743902439024382</v>
      </c>
      <c r="K229" s="22">
        <f t="shared" si="17"/>
        <v>83.658536585365837</v>
      </c>
      <c r="L229" s="22">
        <f t="shared" si="18"/>
        <v>104.57317073170729</v>
      </c>
      <c r="R229" s="4">
        <v>41</v>
      </c>
      <c r="S229" s="22">
        <f t="shared" si="28"/>
        <v>62.743902439024382</v>
      </c>
      <c r="T229" s="22">
        <f t="shared" si="29"/>
        <v>83.658536585365837</v>
      </c>
      <c r="U229" s="22">
        <f t="shared" si="30"/>
        <v>104.57317073170729</v>
      </c>
      <c r="V229" s="22">
        <f t="shared" ca="1" si="31"/>
        <v>47.737497526958869</v>
      </c>
    </row>
    <row r="230" spans="2:22" x14ac:dyDescent="0.25">
      <c r="B230">
        <f t="shared" si="13"/>
        <v>3439.9999999999995</v>
      </c>
      <c r="D230" s="4">
        <v>42</v>
      </c>
      <c r="E230" s="22">
        <f t="shared" si="14"/>
        <v>61.428571428571423</v>
      </c>
      <c r="F230" s="22">
        <f t="shared" si="27"/>
        <v>81.904761904761898</v>
      </c>
      <c r="G230" s="22">
        <f t="shared" si="15"/>
        <v>102.38095238095238</v>
      </c>
      <c r="I230" s="4">
        <v>42</v>
      </c>
      <c r="J230" s="22">
        <f t="shared" si="16"/>
        <v>61.428571428571423</v>
      </c>
      <c r="K230" s="22">
        <f t="shared" si="17"/>
        <v>81.904761904761898</v>
      </c>
      <c r="L230" s="22">
        <f t="shared" si="18"/>
        <v>102.38095238095238</v>
      </c>
      <c r="R230" s="4">
        <v>42</v>
      </c>
      <c r="S230" s="22">
        <f t="shared" ref="S230:S245" si="32">IF($R230&gt;$F$173,0.0000000005,J230)</f>
        <v>61.428571428571423</v>
      </c>
      <c r="T230" s="22">
        <f t="shared" ref="T230:T245" si="33">IF($R230&gt;$F$173,0.0000000005,K230)</f>
        <v>81.904761904761898</v>
      </c>
      <c r="U230" s="22">
        <f t="shared" ref="U230:U245" si="34">IF($R230&gt;$F$173,0.0000000005,L230)</f>
        <v>102.38095238095238</v>
      </c>
      <c r="V230" s="22">
        <f t="shared" ca="1" si="26"/>
        <v>46.600890442983662</v>
      </c>
    </row>
    <row r="231" spans="2:22" x14ac:dyDescent="0.25">
      <c r="B231">
        <f t="shared" si="13"/>
        <v>3449.9999999999995</v>
      </c>
      <c r="D231" s="4">
        <v>43</v>
      </c>
      <c r="E231" s="22">
        <f t="shared" si="14"/>
        <v>60.174418604651152</v>
      </c>
      <c r="F231" s="22">
        <f t="shared" si="27"/>
        <v>80.232558139534873</v>
      </c>
      <c r="G231" s="22">
        <f t="shared" si="15"/>
        <v>100.2906976744186</v>
      </c>
      <c r="I231" s="4">
        <v>43</v>
      </c>
      <c r="J231" s="22">
        <f t="shared" si="16"/>
        <v>60.174418604651152</v>
      </c>
      <c r="K231" s="22">
        <f t="shared" si="17"/>
        <v>80.232558139534873</v>
      </c>
      <c r="L231" s="22">
        <f t="shared" si="18"/>
        <v>100.2906976744186</v>
      </c>
      <c r="R231" s="4">
        <v>43</v>
      </c>
      <c r="S231" s="22">
        <f t="shared" si="32"/>
        <v>60.174418604651152</v>
      </c>
      <c r="T231" s="22">
        <f t="shared" si="33"/>
        <v>80.232558139534873</v>
      </c>
      <c r="U231" s="22">
        <f t="shared" si="34"/>
        <v>100.2906976744186</v>
      </c>
      <c r="V231" s="22">
        <f t="shared" ca="1" si="26"/>
        <v>45.517148804774735</v>
      </c>
    </row>
    <row r="232" spans="2:22" x14ac:dyDescent="0.25">
      <c r="B232">
        <f t="shared" si="13"/>
        <v>3459.9999999999995</v>
      </c>
      <c r="D232" s="4">
        <v>44</v>
      </c>
      <c r="E232" s="22">
        <f t="shared" si="14"/>
        <v>58.97727272727272</v>
      </c>
      <c r="F232" s="22">
        <f t="shared" si="27"/>
        <v>78.636363636363626</v>
      </c>
      <c r="G232" s="22">
        <f t="shared" si="15"/>
        <v>98.295454545454533</v>
      </c>
      <c r="I232" s="4">
        <v>44</v>
      </c>
      <c r="J232" s="22">
        <f t="shared" si="16"/>
        <v>58.97727272727272</v>
      </c>
      <c r="K232" s="22">
        <f t="shared" si="17"/>
        <v>78.636363636363626</v>
      </c>
      <c r="L232" s="22">
        <f t="shared" si="18"/>
        <v>98.295454545454533</v>
      </c>
      <c r="R232" s="4">
        <v>44</v>
      </c>
      <c r="S232" s="22">
        <f t="shared" si="32"/>
        <v>58.97727272727272</v>
      </c>
      <c r="T232" s="22">
        <f t="shared" si="33"/>
        <v>78.636363636363626</v>
      </c>
      <c r="U232" s="22">
        <f t="shared" si="34"/>
        <v>98.295454545454533</v>
      </c>
      <c r="V232" s="22">
        <f t="shared" ca="1" si="26"/>
        <v>44.482668150120766</v>
      </c>
    </row>
    <row r="233" spans="2:22" x14ac:dyDescent="0.25">
      <c r="B233">
        <f t="shared" si="13"/>
        <v>3469.9999999999995</v>
      </c>
      <c r="D233" s="4">
        <v>45</v>
      </c>
      <c r="E233" s="22">
        <f t="shared" si="14"/>
        <v>57.833333333333329</v>
      </c>
      <c r="F233" s="22">
        <f t="shared" si="27"/>
        <v>77.1111111111111</v>
      </c>
      <c r="G233" s="22">
        <f t="shared" si="15"/>
        <v>96.388888888888872</v>
      </c>
      <c r="I233" s="4">
        <v>45</v>
      </c>
      <c r="J233" s="22">
        <f t="shared" si="16"/>
        <v>57.833333333333329</v>
      </c>
      <c r="K233" s="22">
        <f t="shared" si="17"/>
        <v>77.1111111111111</v>
      </c>
      <c r="L233" s="22">
        <f t="shared" si="18"/>
        <v>96.388888888888872</v>
      </c>
      <c r="R233" s="4">
        <v>45</v>
      </c>
      <c r="S233" s="22">
        <f t="shared" si="32"/>
        <v>57.833333333333329</v>
      </c>
      <c r="T233" s="22">
        <f t="shared" si="33"/>
        <v>77.1111111111111</v>
      </c>
      <c r="U233" s="22">
        <f t="shared" si="34"/>
        <v>96.388888888888872</v>
      </c>
      <c r="V233" s="22">
        <f t="shared" ca="1" si="26"/>
        <v>43.494164413451415</v>
      </c>
    </row>
    <row r="234" spans="2:22" x14ac:dyDescent="0.25">
      <c r="B234">
        <f t="shared" si="13"/>
        <v>3479.9999999999995</v>
      </c>
      <c r="D234" s="4">
        <v>46</v>
      </c>
      <c r="E234" s="22">
        <f t="shared" si="14"/>
        <v>56.739130434782602</v>
      </c>
      <c r="F234" s="22">
        <f t="shared" si="27"/>
        <v>75.65217391304347</v>
      </c>
      <c r="G234" s="22">
        <f t="shared" si="15"/>
        <v>94.565217391304344</v>
      </c>
      <c r="I234" s="4">
        <v>46</v>
      </c>
      <c r="J234" s="22">
        <f t="shared" si="16"/>
        <v>56.739130434782602</v>
      </c>
      <c r="K234" s="22">
        <f t="shared" si="17"/>
        <v>75.65217391304347</v>
      </c>
      <c r="L234" s="22">
        <f t="shared" si="18"/>
        <v>94.565217391304344</v>
      </c>
      <c r="R234" s="4">
        <v>46</v>
      </c>
      <c r="S234" s="22">
        <f t="shared" si="32"/>
        <v>56.739130434782602</v>
      </c>
      <c r="T234" s="22">
        <f t="shared" si="33"/>
        <v>75.65217391304347</v>
      </c>
      <c r="U234" s="22">
        <f t="shared" si="34"/>
        <v>94.565217391304344</v>
      </c>
      <c r="V234" s="22">
        <f t="shared" ca="1" si="26"/>
        <v>42.548639100115516</v>
      </c>
    </row>
    <row r="235" spans="2:22" x14ac:dyDescent="0.25">
      <c r="B235">
        <f t="shared" si="13"/>
        <v>3490</v>
      </c>
      <c r="D235" s="4">
        <v>47</v>
      </c>
      <c r="E235" s="22">
        <f t="shared" si="14"/>
        <v>55.691489361702125</v>
      </c>
      <c r="F235" s="22">
        <f t="shared" si="27"/>
        <v>74.255319148936167</v>
      </c>
      <c r="G235" s="22">
        <f t="shared" si="15"/>
        <v>92.819148936170208</v>
      </c>
      <c r="I235" s="4">
        <v>47</v>
      </c>
      <c r="J235" s="22">
        <f t="shared" si="16"/>
        <v>55.691489361702125</v>
      </c>
      <c r="K235" s="22">
        <f t="shared" si="17"/>
        <v>74.255319148936167</v>
      </c>
      <c r="L235" s="22">
        <f t="shared" si="18"/>
        <v>92.819148936170208</v>
      </c>
      <c r="R235" s="4">
        <v>47</v>
      </c>
      <c r="S235" s="22">
        <f t="shared" si="32"/>
        <v>55.691489361702125</v>
      </c>
      <c r="T235" s="22">
        <f t="shared" si="33"/>
        <v>74.255319148936167</v>
      </c>
      <c r="U235" s="22">
        <f t="shared" si="34"/>
        <v>92.819148936170208</v>
      </c>
      <c r="V235" s="22">
        <f t="shared" ca="1" si="26"/>
        <v>41.643348906496037</v>
      </c>
    </row>
    <row r="236" spans="2:22" x14ac:dyDescent="0.25">
      <c r="B236">
        <f t="shared" si="13"/>
        <v>3499.9999999999995</v>
      </c>
      <c r="D236" s="4">
        <v>48</v>
      </c>
      <c r="E236" s="22">
        <f t="shared" si="14"/>
        <v>54.687499999999993</v>
      </c>
      <c r="F236" s="22">
        <f t="shared" si="27"/>
        <v>72.916666666666657</v>
      </c>
      <c r="G236" s="22">
        <f t="shared" si="15"/>
        <v>91.145833333333314</v>
      </c>
      <c r="I236" s="4">
        <v>48</v>
      </c>
      <c r="J236" s="22">
        <f t="shared" si="16"/>
        <v>54.687499999999993</v>
      </c>
      <c r="K236" s="22">
        <f t="shared" si="17"/>
        <v>72.916666666666657</v>
      </c>
      <c r="L236" s="22">
        <f t="shared" si="18"/>
        <v>91.145833333333314</v>
      </c>
      <c r="R236" s="4">
        <v>48</v>
      </c>
      <c r="S236" s="22">
        <f t="shared" si="32"/>
        <v>54.687499999999993</v>
      </c>
      <c r="T236" s="22">
        <f t="shared" si="33"/>
        <v>72.916666666666657</v>
      </c>
      <c r="U236" s="22">
        <f t="shared" si="34"/>
        <v>91.145833333333314</v>
      </c>
      <c r="V236" s="22">
        <f t="shared" ca="1" si="26"/>
        <v>40.775779137610705</v>
      </c>
    </row>
    <row r="237" spans="2:22" x14ac:dyDescent="0.25">
      <c r="B237">
        <f t="shared" si="13"/>
        <v>3509.9999999999991</v>
      </c>
      <c r="D237" s="4">
        <v>49</v>
      </c>
      <c r="E237" s="22">
        <f t="shared" si="14"/>
        <v>53.724489795918359</v>
      </c>
      <c r="F237" s="22">
        <f t="shared" si="27"/>
        <v>71.632653061224474</v>
      </c>
      <c r="G237" s="22">
        <f t="shared" si="15"/>
        <v>89.540816326530589</v>
      </c>
      <c r="I237" s="4">
        <v>49</v>
      </c>
      <c r="J237" s="22">
        <f t="shared" si="16"/>
        <v>53.724489795918359</v>
      </c>
      <c r="K237" s="22">
        <f t="shared" si="17"/>
        <v>71.632653061224474</v>
      </c>
      <c r="L237" s="22">
        <f t="shared" si="18"/>
        <v>89.540816326530589</v>
      </c>
      <c r="R237" s="4">
        <v>49</v>
      </c>
      <c r="S237" s="22">
        <f t="shared" si="32"/>
        <v>53.724489795918359</v>
      </c>
      <c r="T237" s="22">
        <f t="shared" si="33"/>
        <v>71.632653061224474</v>
      </c>
      <c r="U237" s="22">
        <f t="shared" si="34"/>
        <v>89.540816326530589</v>
      </c>
      <c r="V237" s="22">
        <f t="shared" ca="1" si="26"/>
        <v>39.943620379700278</v>
      </c>
    </row>
    <row r="238" spans="2:22" x14ac:dyDescent="0.25">
      <c r="B238">
        <f t="shared" si="13"/>
        <v>3519.9999999999995</v>
      </c>
      <c r="D238" s="4">
        <v>50</v>
      </c>
      <c r="E238" s="22">
        <f t="shared" si="14"/>
        <v>52.8</v>
      </c>
      <c r="F238" s="22">
        <f t="shared" si="27"/>
        <v>70.399999999999991</v>
      </c>
      <c r="G238" s="22">
        <f t="shared" si="15"/>
        <v>87.999999999999986</v>
      </c>
      <c r="I238" s="4">
        <v>50</v>
      </c>
      <c r="J238" s="22">
        <f t="shared" si="16"/>
        <v>52.8</v>
      </c>
      <c r="K238" s="22">
        <f t="shared" si="17"/>
        <v>70.399999999999991</v>
      </c>
      <c r="L238" s="22">
        <f t="shared" si="18"/>
        <v>87.999999999999986</v>
      </c>
      <c r="R238" s="4">
        <v>50</v>
      </c>
      <c r="S238" s="22">
        <f t="shared" si="32"/>
        <v>52.8</v>
      </c>
      <c r="T238" s="22">
        <f t="shared" si="33"/>
        <v>70.399999999999991</v>
      </c>
      <c r="U238" s="22">
        <f t="shared" si="34"/>
        <v>87.999999999999986</v>
      </c>
      <c r="V238" s="22">
        <f t="shared" ca="1" si="26"/>
        <v>39.144747972106273</v>
      </c>
    </row>
    <row r="239" spans="2:22" x14ac:dyDescent="0.25">
      <c r="B239">
        <f t="shared" si="13"/>
        <v>3529.9999999999995</v>
      </c>
      <c r="D239" s="4">
        <v>51</v>
      </c>
      <c r="E239" s="22">
        <f t="shared" si="14"/>
        <v>51.911764705882348</v>
      </c>
      <c r="F239" s="22">
        <f t="shared" si="27"/>
        <v>69.215686274509792</v>
      </c>
      <c r="G239" s="22">
        <f t="shared" si="15"/>
        <v>86.519607843137237</v>
      </c>
      <c r="I239" s="4">
        <v>51</v>
      </c>
      <c r="J239" s="22">
        <f t="shared" si="16"/>
        <v>51.911764705882348</v>
      </c>
      <c r="K239" s="22">
        <f t="shared" si="17"/>
        <v>69.215686274509792</v>
      </c>
      <c r="L239" s="22">
        <f t="shared" si="18"/>
        <v>86.519607843137237</v>
      </c>
      <c r="R239" s="4">
        <v>51</v>
      </c>
      <c r="S239" s="22">
        <f t="shared" si="32"/>
        <v>51.911764705882348</v>
      </c>
      <c r="T239" s="22">
        <f t="shared" si="33"/>
        <v>69.215686274509792</v>
      </c>
      <c r="U239" s="22">
        <f t="shared" si="34"/>
        <v>86.519607843137237</v>
      </c>
      <c r="V239" s="22">
        <f t="shared" ca="1" si="26"/>
        <v>38.377203894221836</v>
      </c>
    </row>
    <row r="240" spans="2:22" x14ac:dyDescent="0.25">
      <c r="B240">
        <f t="shared" si="13"/>
        <v>3539.9999999999995</v>
      </c>
      <c r="D240" s="4">
        <v>52</v>
      </c>
      <c r="E240" s="22">
        <f t="shared" si="14"/>
        <v>51.057692307692299</v>
      </c>
      <c r="F240" s="22">
        <f t="shared" si="27"/>
        <v>68.076923076923066</v>
      </c>
      <c r="G240" s="22">
        <f t="shared" si="15"/>
        <v>85.09615384615384</v>
      </c>
      <c r="I240" s="4">
        <v>52</v>
      </c>
      <c r="J240" s="22">
        <f t="shared" si="16"/>
        <v>51.057692307692299</v>
      </c>
      <c r="K240" s="22">
        <f t="shared" si="17"/>
        <v>68.076923076923066</v>
      </c>
      <c r="L240" s="22">
        <f t="shared" si="18"/>
        <v>85.09615384615384</v>
      </c>
      <c r="R240" s="4">
        <v>52</v>
      </c>
      <c r="S240" s="22">
        <f t="shared" si="32"/>
        <v>51.057692307692299</v>
      </c>
      <c r="T240" s="22">
        <f t="shared" si="33"/>
        <v>68.076923076923066</v>
      </c>
      <c r="U240" s="22">
        <f t="shared" si="34"/>
        <v>85.09615384615384</v>
      </c>
      <c r="V240" s="22">
        <f t="shared" ca="1" si="26"/>
        <v>37.639180742409877</v>
      </c>
    </row>
    <row r="241" spans="2:22" x14ac:dyDescent="0.25">
      <c r="B241">
        <f t="shared" si="13"/>
        <v>3549.9999999999995</v>
      </c>
      <c r="D241" s="4">
        <v>53</v>
      </c>
      <c r="E241" s="22">
        <f t="shared" si="14"/>
        <v>50.235849056603769</v>
      </c>
      <c r="F241" s="22">
        <f t="shared" si="27"/>
        <v>66.981132075471692</v>
      </c>
      <c r="G241" s="22">
        <f t="shared" si="15"/>
        <v>83.726415094339615</v>
      </c>
      <c r="I241" s="4">
        <v>53</v>
      </c>
      <c r="J241" s="22">
        <f t="shared" si="16"/>
        <v>50.235849056603769</v>
      </c>
      <c r="K241" s="22">
        <f t="shared" si="17"/>
        <v>66.981132075471692</v>
      </c>
      <c r="L241" s="22">
        <f t="shared" si="18"/>
        <v>83.726415094339615</v>
      </c>
      <c r="R241" s="4">
        <v>53</v>
      </c>
      <c r="S241" s="22">
        <f t="shared" si="32"/>
        <v>50.235849056603769</v>
      </c>
      <c r="T241" s="22">
        <f t="shared" si="33"/>
        <v>66.981132075471692</v>
      </c>
      <c r="U241" s="22">
        <f t="shared" si="34"/>
        <v>83.726415094339615</v>
      </c>
      <c r="V241" s="22">
        <f t="shared" ca="1" si="26"/>
        <v>36.929007520854974</v>
      </c>
    </row>
    <row r="242" spans="2:22" x14ac:dyDescent="0.25">
      <c r="B242">
        <f t="shared" si="13"/>
        <v>3560</v>
      </c>
      <c r="D242" s="4">
        <v>54</v>
      </c>
      <c r="E242" s="22">
        <f t="shared" si="14"/>
        <v>49.444444444444443</v>
      </c>
      <c r="F242" s="22">
        <f t="shared" si="27"/>
        <v>65.925925925925924</v>
      </c>
      <c r="G242" s="22">
        <f t="shared" si="15"/>
        <v>82.407407407407405</v>
      </c>
      <c r="I242" s="4">
        <v>54</v>
      </c>
      <c r="J242" s="22">
        <f t="shared" si="16"/>
        <v>49.444444444444443</v>
      </c>
      <c r="K242" s="22">
        <f t="shared" si="17"/>
        <v>65.925925925925924</v>
      </c>
      <c r="L242" s="22">
        <f t="shared" si="18"/>
        <v>82.407407407407405</v>
      </c>
      <c r="R242" s="4">
        <v>54</v>
      </c>
      <c r="S242" s="22">
        <f t="shared" si="32"/>
        <v>49.444444444444443</v>
      </c>
      <c r="T242" s="22">
        <f t="shared" si="33"/>
        <v>65.925925925925924</v>
      </c>
      <c r="U242" s="22">
        <f t="shared" si="34"/>
        <v>82.407407407407405</v>
      </c>
      <c r="V242" s="22">
        <f t="shared" ca="1" si="26"/>
        <v>36.245137011209515</v>
      </c>
    </row>
    <row r="243" spans="2:22" x14ac:dyDescent="0.25">
      <c r="B243">
        <f t="shared" si="13"/>
        <v>3570</v>
      </c>
      <c r="D243" s="4">
        <v>55</v>
      </c>
      <c r="E243" s="22">
        <f t="shared" si="14"/>
        <v>48.68181818181818</v>
      </c>
      <c r="F243" s="22">
        <f t="shared" si="27"/>
        <v>64.909090909090907</v>
      </c>
      <c r="G243" s="22">
        <f t="shared" si="15"/>
        <v>81.136363636363626</v>
      </c>
      <c r="I243" s="4">
        <v>55</v>
      </c>
      <c r="J243" s="22">
        <f t="shared" si="16"/>
        <v>48.68181818181818</v>
      </c>
      <c r="K243" s="22">
        <f t="shared" si="17"/>
        <v>64.909090909090907</v>
      </c>
      <c r="L243" s="22">
        <f t="shared" si="18"/>
        <v>81.136363636363626</v>
      </c>
      <c r="R243" s="4">
        <v>55</v>
      </c>
      <c r="S243" s="22">
        <f t="shared" si="32"/>
        <v>48.68181818181818</v>
      </c>
      <c r="T243" s="22">
        <f t="shared" si="33"/>
        <v>64.909090909090907</v>
      </c>
      <c r="U243" s="22">
        <f t="shared" si="34"/>
        <v>81.136363636363626</v>
      </c>
      <c r="V243" s="22">
        <f t="shared" ca="1" si="26"/>
        <v>35.586134520096614</v>
      </c>
    </row>
    <row r="244" spans="2:22" x14ac:dyDescent="0.25">
      <c r="B244">
        <f t="shared" si="13"/>
        <v>3579.9999999999995</v>
      </c>
      <c r="D244" s="4">
        <v>56</v>
      </c>
      <c r="E244" s="22">
        <f t="shared" si="14"/>
        <v>47.946428571428569</v>
      </c>
      <c r="F244" s="22">
        <f t="shared" si="27"/>
        <v>63.928571428571423</v>
      </c>
      <c r="G244" s="22">
        <f t="shared" si="15"/>
        <v>79.910714285714278</v>
      </c>
      <c r="I244" s="4">
        <v>56</v>
      </c>
      <c r="J244" s="22">
        <f t="shared" si="16"/>
        <v>47.946428571428569</v>
      </c>
      <c r="K244" s="22">
        <f t="shared" si="17"/>
        <v>63.928571428571423</v>
      </c>
      <c r="L244" s="22">
        <f t="shared" si="18"/>
        <v>79.910714285714278</v>
      </c>
      <c r="R244" s="4">
        <v>56</v>
      </c>
      <c r="S244" s="22">
        <f t="shared" si="32"/>
        <v>47.946428571428569</v>
      </c>
      <c r="T244" s="22">
        <f t="shared" si="33"/>
        <v>63.928571428571423</v>
      </c>
      <c r="U244" s="22">
        <f t="shared" si="34"/>
        <v>79.910714285714278</v>
      </c>
      <c r="V244" s="22">
        <f t="shared" ca="1" si="26"/>
        <v>34.950667832237748</v>
      </c>
    </row>
    <row r="245" spans="2:22" x14ac:dyDescent="0.25">
      <c r="B245">
        <f t="shared" si="13"/>
        <v>3589.9999999999995</v>
      </c>
      <c r="D245" s="4">
        <v>57</v>
      </c>
      <c r="E245" s="22">
        <f t="shared" si="14"/>
        <v>47.23684210526315</v>
      </c>
      <c r="F245" s="22">
        <f t="shared" si="27"/>
        <v>62.98245614035087</v>
      </c>
      <c r="G245" s="22">
        <f t="shared" si="15"/>
        <v>78.728070175438589</v>
      </c>
      <c r="I245" s="4">
        <v>57</v>
      </c>
      <c r="J245" s="22">
        <f t="shared" si="16"/>
        <v>47.23684210526315</v>
      </c>
      <c r="K245" s="22">
        <f t="shared" si="17"/>
        <v>62.98245614035087</v>
      </c>
      <c r="L245" s="22">
        <f t="shared" si="18"/>
        <v>78.728070175438589</v>
      </c>
      <c r="R245" s="4">
        <v>57</v>
      </c>
      <c r="S245" s="22">
        <f t="shared" si="32"/>
        <v>47.23684210526315</v>
      </c>
      <c r="T245" s="22">
        <f t="shared" si="33"/>
        <v>62.98245614035087</v>
      </c>
      <c r="U245" s="22">
        <f t="shared" si="34"/>
        <v>78.728070175438589</v>
      </c>
      <c r="V245" s="22">
        <f t="shared" ca="1" si="26"/>
        <v>34.337498221145857</v>
      </c>
    </row>
    <row r="246" spans="2:22" x14ac:dyDescent="0.25">
      <c r="B246">
        <f t="shared" si="13"/>
        <v>3599.9999999999995</v>
      </c>
      <c r="D246" s="4">
        <v>58</v>
      </c>
      <c r="E246" s="22">
        <f t="shared" si="14"/>
        <v>46.551724137931032</v>
      </c>
      <c r="F246" s="22">
        <f t="shared" si="27"/>
        <v>62.068965517241374</v>
      </c>
      <c r="G246" s="22">
        <f t="shared" si="15"/>
        <v>77.586206896551715</v>
      </c>
      <c r="I246" s="4">
        <v>58</v>
      </c>
      <c r="J246" s="22">
        <f t="shared" si="16"/>
        <v>46.551724137931032</v>
      </c>
      <c r="K246" s="22">
        <f t="shared" si="17"/>
        <v>62.068965517241374</v>
      </c>
      <c r="L246" s="22">
        <f t="shared" si="18"/>
        <v>77.586206896551715</v>
      </c>
      <c r="R246" s="4">
        <v>58</v>
      </c>
      <c r="S246" s="22">
        <f t="shared" ref="S246:S268" si="35">IF($R246&gt;$F$173,0.0000000005,J246)</f>
        <v>46.551724137931032</v>
      </c>
      <c r="T246" s="22">
        <f t="shared" ref="T246:T268" si="36">IF($R246&gt;$F$173,0.0000000005,K246)</f>
        <v>62.068965517241374</v>
      </c>
      <c r="U246" s="22">
        <f t="shared" ref="U246:U268" si="37">IF($R246&gt;$F$173,0.0000000005,L246)</f>
        <v>77.586206896551715</v>
      </c>
      <c r="V246" s="22">
        <f t="shared" ref="V246:V268" ca="1" si="38">$X$189/R246</f>
        <v>33.745472389746787</v>
      </c>
    </row>
    <row r="247" spans="2:22" x14ac:dyDescent="0.25">
      <c r="B247">
        <f t="shared" si="13"/>
        <v>3609.9999999999995</v>
      </c>
      <c r="D247" s="4">
        <v>59</v>
      </c>
      <c r="E247" s="22">
        <f t="shared" si="14"/>
        <v>45.889830508474574</v>
      </c>
      <c r="F247" s="22">
        <f t="shared" si="27"/>
        <v>61.186440677966097</v>
      </c>
      <c r="G247" s="22">
        <f t="shared" si="15"/>
        <v>76.483050847457619</v>
      </c>
      <c r="I247" s="4">
        <v>59</v>
      </c>
      <c r="J247" s="22">
        <f t="shared" si="16"/>
        <v>45.889830508474574</v>
      </c>
      <c r="K247" s="22">
        <f t="shared" si="17"/>
        <v>61.186440677966097</v>
      </c>
      <c r="L247" s="22">
        <f t="shared" si="18"/>
        <v>76.483050847457619</v>
      </c>
      <c r="R247" s="4">
        <v>59</v>
      </c>
      <c r="S247" s="22">
        <f t="shared" si="35"/>
        <v>45.889830508474574</v>
      </c>
      <c r="T247" s="22">
        <f t="shared" si="36"/>
        <v>61.186440677966097</v>
      </c>
      <c r="U247" s="22">
        <f t="shared" si="37"/>
        <v>76.483050847457619</v>
      </c>
      <c r="V247" s="22">
        <f t="shared" ca="1" si="38"/>
        <v>33.173515230598539</v>
      </c>
    </row>
    <row r="248" spans="2:22" x14ac:dyDescent="0.25">
      <c r="B248">
        <f t="shared" si="13"/>
        <v>3619.9999999999995</v>
      </c>
      <c r="D248" s="4">
        <v>60</v>
      </c>
      <c r="E248" s="22">
        <f t="shared" si="14"/>
        <v>45.25</v>
      </c>
      <c r="F248" s="22">
        <f t="shared" si="27"/>
        <v>60.333333333333329</v>
      </c>
      <c r="G248" s="22">
        <f t="shared" si="15"/>
        <v>75.416666666666657</v>
      </c>
      <c r="I248" s="4">
        <v>60</v>
      </c>
      <c r="J248" s="22">
        <f t="shared" si="16"/>
        <v>45.25</v>
      </c>
      <c r="K248" s="22">
        <f t="shared" si="17"/>
        <v>60.333333333333329</v>
      </c>
      <c r="L248" s="22">
        <f t="shared" si="18"/>
        <v>75.416666666666657</v>
      </c>
      <c r="R248" s="4">
        <v>60</v>
      </c>
      <c r="S248" s="22">
        <f t="shared" si="35"/>
        <v>45.25</v>
      </c>
      <c r="T248" s="22">
        <f t="shared" si="36"/>
        <v>60.333333333333329</v>
      </c>
      <c r="U248" s="22">
        <f t="shared" si="37"/>
        <v>75.416666666666657</v>
      </c>
      <c r="V248" s="22">
        <f t="shared" ca="1" si="38"/>
        <v>32.620623310088561</v>
      </c>
    </row>
    <row r="249" spans="2:22" x14ac:dyDescent="0.25">
      <c r="B249">
        <f t="shared" si="13"/>
        <v>3629.9999999999995</v>
      </c>
      <c r="D249" s="4">
        <v>61</v>
      </c>
      <c r="E249" s="22">
        <f t="shared" si="14"/>
        <v>44.631147540983605</v>
      </c>
      <c r="F249" s="22">
        <f t="shared" si="27"/>
        <v>59.508196721311471</v>
      </c>
      <c r="G249" s="22">
        <f t="shared" si="15"/>
        <v>74.385245901639337</v>
      </c>
      <c r="I249" s="4">
        <v>61</v>
      </c>
      <c r="J249" s="22">
        <f t="shared" si="16"/>
        <v>44.631147540983605</v>
      </c>
      <c r="K249" s="22">
        <f t="shared" si="17"/>
        <v>59.508196721311471</v>
      </c>
      <c r="L249" s="22">
        <f t="shared" si="18"/>
        <v>74.385245901639337</v>
      </c>
      <c r="R249" s="4">
        <v>61</v>
      </c>
      <c r="S249" s="22">
        <f t="shared" si="35"/>
        <v>44.631147540983605</v>
      </c>
      <c r="T249" s="22">
        <f t="shared" si="36"/>
        <v>59.508196721311471</v>
      </c>
      <c r="U249" s="22">
        <f t="shared" si="37"/>
        <v>74.385245901639337</v>
      </c>
      <c r="V249" s="22">
        <f t="shared" ca="1" si="38"/>
        <v>32.085858993529733</v>
      </c>
    </row>
    <row r="250" spans="2:22" x14ac:dyDescent="0.25">
      <c r="B250">
        <f t="shared" si="13"/>
        <v>3639.9999999999995</v>
      </c>
      <c r="D250" s="4">
        <v>62</v>
      </c>
      <c r="E250" s="22">
        <f t="shared" si="14"/>
        <v>44.032258064516128</v>
      </c>
      <c r="F250" s="22">
        <f t="shared" si="27"/>
        <v>58.709677419354833</v>
      </c>
      <c r="G250" s="22">
        <f t="shared" si="15"/>
        <v>73.387096774193537</v>
      </c>
      <c r="I250" s="4">
        <v>62</v>
      </c>
      <c r="J250" s="22">
        <f t="shared" si="16"/>
        <v>44.032258064516128</v>
      </c>
      <c r="K250" s="22">
        <f t="shared" si="17"/>
        <v>58.709677419354833</v>
      </c>
      <c r="L250" s="22">
        <f t="shared" si="18"/>
        <v>73.387096774193537</v>
      </c>
      <c r="R250" s="4">
        <v>62</v>
      </c>
      <c r="S250" s="22">
        <f t="shared" si="35"/>
        <v>44.032258064516128</v>
      </c>
      <c r="T250" s="22">
        <f t="shared" si="36"/>
        <v>58.709677419354833</v>
      </c>
      <c r="U250" s="22">
        <f t="shared" si="37"/>
        <v>73.387096774193537</v>
      </c>
      <c r="V250" s="22">
        <f t="shared" ca="1" si="38"/>
        <v>31.568345138795383</v>
      </c>
    </row>
    <row r="251" spans="2:22" x14ac:dyDescent="0.25">
      <c r="B251">
        <f t="shared" si="13"/>
        <v>3649.9999999999995</v>
      </c>
      <c r="D251" s="4">
        <v>63</v>
      </c>
      <c r="E251" s="22">
        <f t="shared" si="14"/>
        <v>43.452380952380949</v>
      </c>
      <c r="F251" s="22">
        <f t="shared" si="27"/>
        <v>57.93650793650793</v>
      </c>
      <c r="G251" s="22">
        <f t="shared" si="15"/>
        <v>72.42063492063491</v>
      </c>
      <c r="I251" s="4">
        <v>63</v>
      </c>
      <c r="J251" s="22">
        <f t="shared" si="16"/>
        <v>43.452380952380949</v>
      </c>
      <c r="K251" s="22">
        <f t="shared" si="17"/>
        <v>57.93650793650793</v>
      </c>
      <c r="L251" s="22">
        <f t="shared" si="18"/>
        <v>72.42063492063491</v>
      </c>
      <c r="R251" s="4">
        <v>63</v>
      </c>
      <c r="S251" s="22">
        <f t="shared" si="35"/>
        <v>43.452380952380949</v>
      </c>
      <c r="T251" s="22">
        <f t="shared" si="36"/>
        <v>57.93650793650793</v>
      </c>
      <c r="U251" s="22">
        <f t="shared" si="37"/>
        <v>72.42063492063491</v>
      </c>
      <c r="V251" s="22">
        <f t="shared" ca="1" si="38"/>
        <v>31.067260295322441</v>
      </c>
    </row>
    <row r="252" spans="2:22" x14ac:dyDescent="0.25">
      <c r="B252">
        <f t="shared" si="13"/>
        <v>3659.9999999999995</v>
      </c>
      <c r="D252" s="4">
        <v>64</v>
      </c>
      <c r="E252" s="22">
        <f t="shared" si="14"/>
        <v>42.890624999999993</v>
      </c>
      <c r="F252" s="22">
        <f t="shared" si="27"/>
        <v>57.187499999999993</v>
      </c>
      <c r="G252" s="22">
        <f t="shared" si="15"/>
        <v>71.484374999999986</v>
      </c>
      <c r="I252" s="4">
        <v>64</v>
      </c>
      <c r="J252" s="22">
        <f t="shared" si="16"/>
        <v>42.890624999999993</v>
      </c>
      <c r="K252" s="22">
        <f t="shared" si="17"/>
        <v>57.187499999999993</v>
      </c>
      <c r="L252" s="22">
        <f t="shared" si="18"/>
        <v>71.484374999999986</v>
      </c>
      <c r="R252" s="4">
        <v>64</v>
      </c>
      <c r="S252" s="22">
        <f t="shared" si="35"/>
        <v>42.890624999999993</v>
      </c>
      <c r="T252" s="22">
        <f t="shared" si="36"/>
        <v>57.187499999999993</v>
      </c>
      <c r="U252" s="22">
        <f t="shared" si="37"/>
        <v>71.484374999999986</v>
      </c>
      <c r="V252" s="22">
        <f t="shared" ca="1" si="38"/>
        <v>30.581834353208027</v>
      </c>
    </row>
    <row r="253" spans="2:22" x14ac:dyDescent="0.25">
      <c r="B253">
        <f t="shared" si="13"/>
        <v>3669.9999999999995</v>
      </c>
      <c r="D253" s="4">
        <v>65</v>
      </c>
      <c r="E253" s="22">
        <f t="shared" si="14"/>
        <v>42.34615384615384</v>
      </c>
      <c r="F253" s="22">
        <f t="shared" ref="F253:F268" si="39">($F$180+(D253-VINMAX)*$E$273/$E$274)/D253</f>
        <v>56.461538461538453</v>
      </c>
      <c r="G253" s="22">
        <f t="shared" si="15"/>
        <v>70.576923076923066</v>
      </c>
      <c r="I253" s="4">
        <v>65</v>
      </c>
      <c r="J253" s="22">
        <f t="shared" si="16"/>
        <v>42.34615384615384</v>
      </c>
      <c r="K253" s="22">
        <f t="shared" si="17"/>
        <v>56.461538461538453</v>
      </c>
      <c r="L253" s="22">
        <f t="shared" si="18"/>
        <v>70.576923076923066</v>
      </c>
      <c r="R253" s="4">
        <v>65</v>
      </c>
      <c r="S253" s="22">
        <f t="shared" si="35"/>
        <v>42.34615384615384</v>
      </c>
      <c r="T253" s="22">
        <f t="shared" si="36"/>
        <v>56.461538461538453</v>
      </c>
      <c r="U253" s="22">
        <f t="shared" si="37"/>
        <v>70.576923076923066</v>
      </c>
      <c r="V253" s="22">
        <f t="shared" ca="1" si="38"/>
        <v>30.111344593927903</v>
      </c>
    </row>
    <row r="254" spans="2:22" x14ac:dyDescent="0.25">
      <c r="B254">
        <f t="shared" ref="B254:B268" si="40">D254*F254</f>
        <v>3679.9999999999995</v>
      </c>
      <c r="D254" s="4">
        <v>66</v>
      </c>
      <c r="E254" s="22">
        <f t="shared" si="14"/>
        <v>41.818181818181813</v>
      </c>
      <c r="F254" s="22">
        <f t="shared" si="39"/>
        <v>55.757575757575751</v>
      </c>
      <c r="G254" s="22">
        <f t="shared" si="15"/>
        <v>69.696969696969688</v>
      </c>
      <c r="I254" s="4">
        <v>66</v>
      </c>
      <c r="J254" s="22">
        <f t="shared" si="16"/>
        <v>41.818181818181813</v>
      </c>
      <c r="K254" s="22">
        <f t="shared" si="17"/>
        <v>55.757575757575751</v>
      </c>
      <c r="L254" s="22">
        <f t="shared" si="18"/>
        <v>69.696969696969688</v>
      </c>
      <c r="R254" s="4">
        <v>66</v>
      </c>
      <c r="S254" s="22">
        <f t="shared" si="35"/>
        <v>41.818181818181813</v>
      </c>
      <c r="T254" s="22">
        <f t="shared" si="36"/>
        <v>55.757575757575751</v>
      </c>
      <c r="U254" s="22">
        <f t="shared" si="37"/>
        <v>69.696969696969688</v>
      </c>
      <c r="V254" s="22">
        <f t="shared" ca="1" si="38"/>
        <v>29.655112100080512</v>
      </c>
    </row>
    <row r="255" spans="2:22" x14ac:dyDescent="0.25">
      <c r="B255">
        <f t="shared" si="40"/>
        <v>3689.9999999999995</v>
      </c>
      <c r="D255" s="4">
        <v>67</v>
      </c>
      <c r="E255" s="22">
        <f t="shared" si="14"/>
        <v>41.305970149253724</v>
      </c>
      <c r="F255" s="22">
        <f t="shared" si="39"/>
        <v>55.074626865671632</v>
      </c>
      <c r="G255" s="22">
        <f t="shared" si="15"/>
        <v>68.843283582089541</v>
      </c>
      <c r="I255" s="4">
        <v>67</v>
      </c>
      <c r="J255" s="22">
        <f t="shared" si="16"/>
        <v>41.305970149253724</v>
      </c>
      <c r="K255" s="22">
        <f t="shared" si="17"/>
        <v>55.074626865671632</v>
      </c>
      <c r="L255" s="22">
        <f t="shared" si="18"/>
        <v>68.843283582089541</v>
      </c>
      <c r="R255" s="4">
        <v>67</v>
      </c>
      <c r="S255" s="22">
        <f t="shared" si="35"/>
        <v>41.305970149253724</v>
      </c>
      <c r="T255" s="22">
        <f t="shared" si="36"/>
        <v>55.074626865671632</v>
      </c>
      <c r="U255" s="22">
        <f t="shared" si="37"/>
        <v>68.843283582089541</v>
      </c>
      <c r="V255" s="22">
        <f t="shared" ca="1" si="38"/>
        <v>29.212498486646474</v>
      </c>
    </row>
    <row r="256" spans="2:22" x14ac:dyDescent="0.25">
      <c r="B256">
        <f t="shared" si="40"/>
        <v>3699.9999999999995</v>
      </c>
      <c r="D256" s="4">
        <v>68</v>
      </c>
      <c r="E256" s="22">
        <f t="shared" si="14"/>
        <v>40.808823529411761</v>
      </c>
      <c r="F256" s="22">
        <f t="shared" si="39"/>
        <v>54.411764705882348</v>
      </c>
      <c r="G256" s="22">
        <f t="shared" si="15"/>
        <v>68.014705882352928</v>
      </c>
      <c r="I256" s="4">
        <v>68</v>
      </c>
      <c r="J256" s="22">
        <f t="shared" si="16"/>
        <v>40.808823529411761</v>
      </c>
      <c r="K256" s="22">
        <f t="shared" si="17"/>
        <v>54.411764705882348</v>
      </c>
      <c r="L256" s="22">
        <f t="shared" si="18"/>
        <v>68.014705882352928</v>
      </c>
      <c r="R256" s="4">
        <v>68</v>
      </c>
      <c r="S256" s="22">
        <f t="shared" si="35"/>
        <v>40.808823529411761</v>
      </c>
      <c r="T256" s="22">
        <f t="shared" si="36"/>
        <v>54.411764705882348</v>
      </c>
      <c r="U256" s="22">
        <f t="shared" si="37"/>
        <v>68.014705882352928</v>
      </c>
      <c r="V256" s="22">
        <f t="shared" ca="1" si="38"/>
        <v>28.782902920666377</v>
      </c>
    </row>
    <row r="257" spans="2:22" x14ac:dyDescent="0.25">
      <c r="B257">
        <f t="shared" si="40"/>
        <v>3709.9999999999995</v>
      </c>
      <c r="D257" s="4">
        <v>69</v>
      </c>
      <c r="E257" s="22">
        <f t="shared" si="14"/>
        <v>40.326086956521735</v>
      </c>
      <c r="F257" s="22">
        <f t="shared" si="39"/>
        <v>53.768115942028977</v>
      </c>
      <c r="G257" s="22">
        <f t="shared" si="15"/>
        <v>67.21014492753622</v>
      </c>
      <c r="I257" s="4">
        <v>69</v>
      </c>
      <c r="J257" s="22">
        <f t="shared" si="16"/>
        <v>40.326086956521735</v>
      </c>
      <c r="K257" s="22">
        <f t="shared" si="17"/>
        <v>53.768115942028977</v>
      </c>
      <c r="L257" s="22">
        <f t="shared" si="18"/>
        <v>67.21014492753622</v>
      </c>
      <c r="R257" s="4">
        <v>69</v>
      </c>
      <c r="S257" s="22">
        <f t="shared" si="35"/>
        <v>40.326086956521735</v>
      </c>
      <c r="T257" s="22">
        <f t="shared" si="36"/>
        <v>53.768115942028977</v>
      </c>
      <c r="U257" s="22">
        <f t="shared" si="37"/>
        <v>67.21014492753622</v>
      </c>
      <c r="V257" s="22">
        <f t="shared" ca="1" si="38"/>
        <v>28.36575940007701</v>
      </c>
    </row>
    <row r="258" spans="2:22" x14ac:dyDescent="0.25">
      <c r="B258">
        <f t="shared" si="40"/>
        <v>3719.9999999999995</v>
      </c>
      <c r="D258" s="4">
        <v>70</v>
      </c>
      <c r="E258" s="22">
        <f t="shared" si="14"/>
        <v>39.857142857142854</v>
      </c>
      <c r="F258" s="22">
        <f t="shared" si="39"/>
        <v>53.142857142857139</v>
      </c>
      <c r="G258" s="22">
        <f t="shared" si="15"/>
        <v>66.428571428571416</v>
      </c>
      <c r="I258" s="4">
        <v>70</v>
      </c>
      <c r="J258" s="22">
        <f t="shared" si="16"/>
        <v>39.857142857142854</v>
      </c>
      <c r="K258" s="22">
        <f t="shared" si="17"/>
        <v>53.142857142857139</v>
      </c>
      <c r="L258" s="22">
        <f t="shared" si="18"/>
        <v>66.428571428571416</v>
      </c>
      <c r="R258" s="4">
        <v>70</v>
      </c>
      <c r="S258" s="22">
        <f t="shared" si="35"/>
        <v>39.857142857142854</v>
      </c>
      <c r="T258" s="22">
        <f t="shared" si="36"/>
        <v>53.142857142857139</v>
      </c>
      <c r="U258" s="22">
        <f t="shared" si="37"/>
        <v>66.428571428571416</v>
      </c>
      <c r="V258" s="22">
        <f t="shared" ca="1" si="38"/>
        <v>27.960534265790198</v>
      </c>
    </row>
    <row r="259" spans="2:22" x14ac:dyDescent="0.25">
      <c r="B259">
        <f t="shared" si="40"/>
        <v>3729.9999999999995</v>
      </c>
      <c r="D259" s="4">
        <v>71</v>
      </c>
      <c r="E259" s="22">
        <f t="shared" si="14"/>
        <v>39.401408450704217</v>
      </c>
      <c r="F259" s="22">
        <f t="shared" si="39"/>
        <v>52.535211267605625</v>
      </c>
      <c r="G259" s="22">
        <f t="shared" si="15"/>
        <v>65.669014084507026</v>
      </c>
      <c r="I259" s="4">
        <v>71</v>
      </c>
      <c r="J259" s="22">
        <f t="shared" si="16"/>
        <v>39.401408450704217</v>
      </c>
      <c r="K259" s="22">
        <f t="shared" si="17"/>
        <v>52.535211267605625</v>
      </c>
      <c r="L259" s="22">
        <f t="shared" si="18"/>
        <v>65.669014084507026</v>
      </c>
      <c r="R259" s="4">
        <v>71</v>
      </c>
      <c r="S259" s="22">
        <f t="shared" si="35"/>
        <v>5.0000000000000003E-10</v>
      </c>
      <c r="T259" s="22">
        <f t="shared" si="36"/>
        <v>5.0000000000000003E-10</v>
      </c>
      <c r="U259" s="22">
        <f t="shared" si="37"/>
        <v>5.0000000000000003E-10</v>
      </c>
      <c r="V259" s="22">
        <f t="shared" ca="1" si="38"/>
        <v>27.566723924018504</v>
      </c>
    </row>
    <row r="260" spans="2:22" x14ac:dyDescent="0.25">
      <c r="B260">
        <f t="shared" si="40"/>
        <v>3739.9999999999995</v>
      </c>
      <c r="D260" s="4">
        <v>72</v>
      </c>
      <c r="E260" s="22">
        <f t="shared" si="14"/>
        <v>38.958333333333329</v>
      </c>
      <c r="F260" s="22">
        <f t="shared" si="39"/>
        <v>51.944444444444436</v>
      </c>
      <c r="G260" s="22">
        <f t="shared" si="15"/>
        <v>64.930555555555543</v>
      </c>
      <c r="I260" s="4">
        <v>72</v>
      </c>
      <c r="J260" s="22">
        <f t="shared" si="16"/>
        <v>38.958333333333329</v>
      </c>
      <c r="K260" s="22">
        <f t="shared" si="17"/>
        <v>51.944444444444436</v>
      </c>
      <c r="L260" s="22">
        <f t="shared" si="18"/>
        <v>64.930555555555543</v>
      </c>
      <c r="R260" s="4">
        <v>72</v>
      </c>
      <c r="S260" s="22">
        <f t="shared" si="35"/>
        <v>5.0000000000000003E-10</v>
      </c>
      <c r="T260" s="22">
        <f t="shared" si="36"/>
        <v>5.0000000000000003E-10</v>
      </c>
      <c r="U260" s="22">
        <f t="shared" si="37"/>
        <v>5.0000000000000003E-10</v>
      </c>
      <c r="V260" s="22">
        <f t="shared" ca="1" si="38"/>
        <v>27.183852758407134</v>
      </c>
    </row>
    <row r="261" spans="2:22" x14ac:dyDescent="0.25">
      <c r="B261">
        <f t="shared" si="40"/>
        <v>3749.9999999999995</v>
      </c>
      <c r="D261" s="4">
        <v>73</v>
      </c>
      <c r="E261" s="22">
        <f t="shared" si="14"/>
        <v>38.527397260273972</v>
      </c>
      <c r="F261" s="22">
        <f t="shared" si="39"/>
        <v>51.369863013698627</v>
      </c>
      <c r="G261" s="22">
        <f t="shared" si="15"/>
        <v>64.212328767123282</v>
      </c>
      <c r="I261" s="4">
        <v>73</v>
      </c>
      <c r="J261" s="22">
        <f t="shared" si="16"/>
        <v>38.527397260273972</v>
      </c>
      <c r="K261" s="22">
        <f t="shared" si="17"/>
        <v>51.369863013698627</v>
      </c>
      <c r="L261" s="22">
        <f t="shared" si="18"/>
        <v>64.212328767123282</v>
      </c>
      <c r="R261" s="4">
        <v>73</v>
      </c>
      <c r="S261" s="22">
        <f t="shared" si="35"/>
        <v>5.0000000000000003E-10</v>
      </c>
      <c r="T261" s="22">
        <f t="shared" si="36"/>
        <v>5.0000000000000003E-10</v>
      </c>
      <c r="U261" s="22">
        <f t="shared" si="37"/>
        <v>5.0000000000000003E-10</v>
      </c>
      <c r="V261" s="22">
        <f t="shared" ca="1" si="38"/>
        <v>26.811471213771419</v>
      </c>
    </row>
    <row r="262" spans="2:22" x14ac:dyDescent="0.25">
      <c r="B262">
        <f t="shared" si="40"/>
        <v>3759.9999999999995</v>
      </c>
      <c r="D262" s="4">
        <v>74</v>
      </c>
      <c r="E262" s="22">
        <f t="shared" si="14"/>
        <v>38.108108108108105</v>
      </c>
      <c r="F262" s="22">
        <f t="shared" si="39"/>
        <v>50.810810810810807</v>
      </c>
      <c r="G262" s="22">
        <f t="shared" si="15"/>
        <v>63.513513513513509</v>
      </c>
      <c r="I262" s="4">
        <v>74</v>
      </c>
      <c r="J262" s="22">
        <f t="shared" si="16"/>
        <v>38.108108108108105</v>
      </c>
      <c r="K262" s="22">
        <f t="shared" si="17"/>
        <v>50.810810810810807</v>
      </c>
      <c r="L262" s="22">
        <f t="shared" si="18"/>
        <v>63.513513513513509</v>
      </c>
      <c r="R262" s="4">
        <v>74</v>
      </c>
      <c r="S262" s="22">
        <f t="shared" si="35"/>
        <v>5.0000000000000003E-10</v>
      </c>
      <c r="T262" s="22">
        <f t="shared" si="36"/>
        <v>5.0000000000000003E-10</v>
      </c>
      <c r="U262" s="22">
        <f t="shared" si="37"/>
        <v>5.0000000000000003E-10</v>
      </c>
      <c r="V262" s="22">
        <f t="shared" ca="1" si="38"/>
        <v>26.449154035206941</v>
      </c>
    </row>
    <row r="263" spans="2:22" x14ac:dyDescent="0.25">
      <c r="B263">
        <f t="shared" si="40"/>
        <v>3769.9999999999995</v>
      </c>
      <c r="D263" s="4">
        <v>75</v>
      </c>
      <c r="E263" s="22">
        <f t="shared" si="14"/>
        <v>37.699999999999996</v>
      </c>
      <c r="F263" s="22">
        <f t="shared" si="39"/>
        <v>50.266666666666659</v>
      </c>
      <c r="G263" s="22">
        <f t="shared" si="15"/>
        <v>62.833333333333321</v>
      </c>
      <c r="I263" s="4">
        <v>75</v>
      </c>
      <c r="J263" s="22">
        <f t="shared" si="16"/>
        <v>37.699999999999996</v>
      </c>
      <c r="K263" s="22">
        <f t="shared" si="17"/>
        <v>50.266666666666659</v>
      </c>
      <c r="L263" s="22">
        <f t="shared" si="18"/>
        <v>62.833333333333321</v>
      </c>
      <c r="R263" s="4">
        <v>75</v>
      </c>
      <c r="S263" s="22">
        <f t="shared" si="35"/>
        <v>5.0000000000000003E-10</v>
      </c>
      <c r="T263" s="22">
        <f t="shared" si="36"/>
        <v>5.0000000000000003E-10</v>
      </c>
      <c r="U263" s="22">
        <f t="shared" si="37"/>
        <v>5.0000000000000003E-10</v>
      </c>
      <c r="V263" s="22">
        <f t="shared" ca="1" si="38"/>
        <v>26.096498648070849</v>
      </c>
    </row>
    <row r="264" spans="2:22" x14ac:dyDescent="0.25">
      <c r="B264">
        <f t="shared" si="40"/>
        <v>3779.9999999999995</v>
      </c>
      <c r="D264" s="4">
        <v>76</v>
      </c>
      <c r="E264" s="22">
        <f t="shared" si="14"/>
        <v>37.302631578947363</v>
      </c>
      <c r="F264" s="22">
        <f t="shared" si="39"/>
        <v>49.73684210526315</v>
      </c>
      <c r="G264" s="22">
        <f t="shared" si="15"/>
        <v>62.171052631578938</v>
      </c>
      <c r="I264" s="4">
        <v>76</v>
      </c>
      <c r="J264" s="22">
        <f t="shared" si="16"/>
        <v>37.302631578947363</v>
      </c>
      <c r="K264" s="22">
        <f t="shared" si="17"/>
        <v>49.73684210526315</v>
      </c>
      <c r="L264" s="22">
        <f t="shared" si="18"/>
        <v>62.171052631578938</v>
      </c>
      <c r="R264" s="4">
        <v>76</v>
      </c>
      <c r="S264" s="22">
        <f t="shared" si="35"/>
        <v>5.0000000000000003E-10</v>
      </c>
      <c r="T264" s="22">
        <f t="shared" si="36"/>
        <v>5.0000000000000003E-10</v>
      </c>
      <c r="U264" s="22">
        <f t="shared" si="37"/>
        <v>5.0000000000000003E-10</v>
      </c>
      <c r="V264" s="22">
        <f t="shared" ca="1" si="38"/>
        <v>25.753123665859391</v>
      </c>
    </row>
    <row r="265" spans="2:22" x14ac:dyDescent="0.25">
      <c r="B265">
        <f t="shared" si="40"/>
        <v>3789.9999999999995</v>
      </c>
      <c r="D265" s="4">
        <v>77</v>
      </c>
      <c r="E265" s="22">
        <f t="shared" si="14"/>
        <v>36.915584415584412</v>
      </c>
      <c r="F265" s="22">
        <f t="shared" si="39"/>
        <v>49.220779220779214</v>
      </c>
      <c r="G265" s="22">
        <f t="shared" si="15"/>
        <v>61.525974025974016</v>
      </c>
      <c r="I265" s="4">
        <v>77</v>
      </c>
      <c r="J265" s="22">
        <f t="shared" si="16"/>
        <v>36.915584415584412</v>
      </c>
      <c r="K265" s="22">
        <f t="shared" si="17"/>
        <v>49.220779220779214</v>
      </c>
      <c r="L265" s="22">
        <f t="shared" si="18"/>
        <v>61.525974025974016</v>
      </c>
      <c r="R265" s="4">
        <v>77</v>
      </c>
      <c r="S265" s="22">
        <f t="shared" si="35"/>
        <v>5.0000000000000003E-10</v>
      </c>
      <c r="T265" s="22">
        <f t="shared" si="36"/>
        <v>5.0000000000000003E-10</v>
      </c>
      <c r="U265" s="22">
        <f t="shared" si="37"/>
        <v>5.0000000000000003E-10</v>
      </c>
      <c r="V265" s="22">
        <f t="shared" ca="1" si="38"/>
        <v>25.418667514354723</v>
      </c>
    </row>
    <row r="266" spans="2:22" x14ac:dyDescent="0.25">
      <c r="B266">
        <f t="shared" si="40"/>
        <v>3800</v>
      </c>
      <c r="D266" s="4">
        <v>78</v>
      </c>
      <c r="E266" s="22">
        <f t="shared" si="14"/>
        <v>36.538461538461533</v>
      </c>
      <c r="F266" s="22">
        <f t="shared" si="39"/>
        <v>48.717948717948715</v>
      </c>
      <c r="G266" s="22">
        <f t="shared" si="15"/>
        <v>60.897435897435898</v>
      </c>
      <c r="I266" s="4">
        <v>78</v>
      </c>
      <c r="J266" s="22">
        <f t="shared" si="16"/>
        <v>36.538461538461533</v>
      </c>
      <c r="K266" s="22">
        <f t="shared" si="17"/>
        <v>48.717948717948715</v>
      </c>
      <c r="L266" s="22">
        <f t="shared" si="18"/>
        <v>60.897435897435898</v>
      </c>
      <c r="R266" s="4">
        <v>78</v>
      </c>
      <c r="S266" s="22">
        <f t="shared" si="35"/>
        <v>5.0000000000000003E-10</v>
      </c>
      <c r="T266" s="22">
        <f t="shared" si="36"/>
        <v>5.0000000000000003E-10</v>
      </c>
      <c r="U266" s="22">
        <f t="shared" si="37"/>
        <v>5.0000000000000003E-10</v>
      </c>
      <c r="V266" s="22">
        <f t="shared" ca="1" si="38"/>
        <v>25.092787161606587</v>
      </c>
    </row>
    <row r="267" spans="2:22" x14ac:dyDescent="0.25">
      <c r="B267">
        <f t="shared" si="40"/>
        <v>3810</v>
      </c>
      <c r="D267" s="4">
        <v>79</v>
      </c>
      <c r="E267" s="22">
        <f t="shared" si="14"/>
        <v>36.170886075949369</v>
      </c>
      <c r="F267" s="22">
        <f t="shared" si="39"/>
        <v>48.22784810126582</v>
      </c>
      <c r="G267" s="22">
        <f t="shared" si="15"/>
        <v>60.284810126582272</v>
      </c>
      <c r="I267" s="4">
        <v>79</v>
      </c>
      <c r="J267" s="22">
        <f t="shared" si="16"/>
        <v>36.170886075949369</v>
      </c>
      <c r="K267" s="22">
        <f t="shared" si="17"/>
        <v>48.22784810126582</v>
      </c>
      <c r="L267" s="22">
        <f t="shared" si="18"/>
        <v>60.284810126582272</v>
      </c>
      <c r="R267" s="4">
        <v>79</v>
      </c>
      <c r="S267" s="22">
        <f t="shared" si="35"/>
        <v>5.0000000000000003E-10</v>
      </c>
      <c r="T267" s="22">
        <f t="shared" si="36"/>
        <v>5.0000000000000003E-10</v>
      </c>
      <c r="U267" s="22">
        <f t="shared" si="37"/>
        <v>5.0000000000000003E-10</v>
      </c>
      <c r="V267" s="22">
        <f t="shared" ca="1" si="38"/>
        <v>24.775156944371059</v>
      </c>
    </row>
    <row r="268" spans="2:22" x14ac:dyDescent="0.25">
      <c r="B268">
        <f t="shared" si="40"/>
        <v>3819.9999999999995</v>
      </c>
      <c r="D268" s="4">
        <v>80</v>
      </c>
      <c r="E268" s="22">
        <f t="shared" si="14"/>
        <v>35.812499999999993</v>
      </c>
      <c r="F268" s="22">
        <f t="shared" si="39"/>
        <v>47.749999999999993</v>
      </c>
      <c r="G268" s="22">
        <f t="shared" si="15"/>
        <v>59.687499999999993</v>
      </c>
      <c r="I268" s="4">
        <v>80</v>
      </c>
      <c r="J268" s="22">
        <f t="shared" si="16"/>
        <v>35.812499999999993</v>
      </c>
      <c r="K268" s="22">
        <f t="shared" si="17"/>
        <v>47.749999999999993</v>
      </c>
      <c r="L268" s="22">
        <f t="shared" si="18"/>
        <v>59.687499999999993</v>
      </c>
      <c r="R268" s="4">
        <v>80</v>
      </c>
      <c r="S268" s="22">
        <f t="shared" si="35"/>
        <v>5.0000000000000003E-10</v>
      </c>
      <c r="T268" s="22">
        <f t="shared" si="36"/>
        <v>5.0000000000000003E-10</v>
      </c>
      <c r="U268" s="22">
        <f t="shared" si="37"/>
        <v>5.0000000000000003E-10</v>
      </c>
      <c r="V268" s="22">
        <f t="shared" ca="1" si="38"/>
        <v>24.465467482566421</v>
      </c>
    </row>
    <row r="269" spans="2:22" x14ac:dyDescent="0.25">
      <c r="D269" s="1"/>
      <c r="E269" s="16"/>
      <c r="F269" s="16"/>
      <c r="G269" s="16"/>
      <c r="I269" s="1"/>
      <c r="J269" s="16"/>
      <c r="K269" s="16"/>
      <c r="L269" s="16"/>
    </row>
    <row r="271" spans="2:22" x14ac:dyDescent="0.25">
      <c r="D271" s="25" t="s">
        <v>314</v>
      </c>
    </row>
    <row r="273" spans="4:6" x14ac:dyDescent="0.25">
      <c r="D273" s="25" t="s">
        <v>315</v>
      </c>
      <c r="E273">
        <f>'Device Parameters'!E12</f>
        <v>1E-3</v>
      </c>
    </row>
    <row r="274" spans="4:6" x14ac:dyDescent="0.25">
      <c r="D274" s="25" t="s">
        <v>316</v>
      </c>
      <c r="E274">
        <f>RsEFF*0.001</f>
        <v>1E-4</v>
      </c>
    </row>
    <row r="275" spans="4:6" x14ac:dyDescent="0.25">
      <c r="D275" s="25" t="s">
        <v>317</v>
      </c>
      <c r="E275">
        <f>VINMAX</f>
        <v>70</v>
      </c>
    </row>
    <row r="276" spans="4:6" x14ac:dyDescent="0.25">
      <c r="D276" s="25" t="s">
        <v>318</v>
      </c>
      <c r="E276" s="1"/>
      <c r="F276">
        <v>0.25</v>
      </c>
    </row>
    <row r="278" spans="4:6" x14ac:dyDescent="0.25">
      <c r="D278" s="129" t="s">
        <v>279</v>
      </c>
    </row>
  </sheetData>
  <mergeCells count="3">
    <mergeCell ref="D45:G45"/>
    <mergeCell ref="D54:G54"/>
    <mergeCell ref="D69:H69"/>
  </mergeCells>
  <phoneticPr fontId="58"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8767B-E6E8-4F45-8782-EFBEF558233D}">
  <sheetPr codeName="Sheet7"/>
  <dimension ref="B4:BX84"/>
  <sheetViews>
    <sheetView zoomScale="70" zoomScaleNormal="70" workbookViewId="0">
      <selection activeCell="J4" sqref="J4"/>
    </sheetView>
  </sheetViews>
  <sheetFormatPr defaultRowHeight="13.2" x14ac:dyDescent="0.25"/>
  <cols>
    <col min="2" max="2" width="27.77734375" customWidth="1"/>
    <col min="3" max="3" width="15.77734375" customWidth="1"/>
    <col min="6" max="6" width="27.77734375" customWidth="1"/>
    <col min="7" max="7" width="15.77734375" customWidth="1"/>
    <col min="10" max="10" width="27.77734375" customWidth="1"/>
    <col min="11" max="11" width="15.77734375" customWidth="1"/>
    <col min="14" max="14" width="27.77734375" customWidth="1"/>
    <col min="15" max="15" width="15.77734375" customWidth="1"/>
    <col min="18" max="18" width="27.77734375" customWidth="1"/>
    <col min="19" max="19" width="15.77734375" customWidth="1"/>
    <col min="22" max="22" width="27.77734375" customWidth="1"/>
    <col min="23" max="23" width="15.77734375" customWidth="1"/>
    <col min="26" max="26" width="27.77734375" customWidth="1"/>
    <col min="27" max="27" width="15.77734375" customWidth="1"/>
    <col min="30" max="30" width="27.77734375" customWidth="1"/>
    <col min="31" max="31" width="15.77734375" customWidth="1"/>
    <col min="34" max="34" width="27.77734375" customWidth="1"/>
    <col min="35" max="35" width="15.77734375" customWidth="1"/>
    <col min="38" max="38" width="27.77734375" customWidth="1"/>
    <col min="39" max="39" width="15.77734375" customWidth="1"/>
    <col min="42" max="42" width="27.77734375" customWidth="1"/>
    <col min="43" max="43" width="15.77734375" customWidth="1"/>
    <col min="46" max="46" width="27.77734375" customWidth="1"/>
    <col min="47" max="47" width="15.77734375" customWidth="1"/>
    <col min="50" max="50" width="27.77734375" customWidth="1"/>
    <col min="51" max="51" width="15.77734375" customWidth="1"/>
    <col min="54" max="54" width="27.77734375" customWidth="1"/>
    <col min="55" max="55" width="15.77734375" customWidth="1"/>
    <col min="58" max="58" width="27.77734375" customWidth="1"/>
    <col min="59" max="59" width="15.77734375" customWidth="1"/>
    <col min="62" max="62" width="27.77734375" customWidth="1"/>
    <col min="63" max="63" width="15.77734375" customWidth="1"/>
    <col min="66" max="66" width="27.77734375" customWidth="1"/>
    <col min="67" max="67" width="15.77734375" customWidth="1"/>
    <col min="70" max="70" width="27.77734375" customWidth="1"/>
    <col min="71" max="71" width="15.77734375" customWidth="1"/>
    <col min="74" max="74" width="27.77734375" customWidth="1"/>
    <col min="75" max="75" width="15.77734375" customWidth="1"/>
    <col min="78" max="78" width="27.77734375" customWidth="1"/>
    <col min="79" max="79" width="15.77734375" customWidth="1"/>
    <col min="82" max="82" width="27.77734375" customWidth="1"/>
    <col min="83" max="83" width="15.77734375" customWidth="1"/>
    <col min="86" max="86" width="27.77734375" customWidth="1"/>
    <col min="87" max="87" width="15.77734375" customWidth="1"/>
    <col min="90" max="90" width="27.77734375" customWidth="1"/>
    <col min="91" max="91" width="15.77734375" customWidth="1"/>
    <col min="94" max="94" width="27.77734375" customWidth="1"/>
    <col min="95" max="95" width="15.77734375" customWidth="1"/>
    <col min="98" max="98" width="27.77734375" customWidth="1"/>
    <col min="99" max="99" width="15.77734375" customWidth="1"/>
    <col min="102" max="102" width="27.77734375" customWidth="1"/>
    <col min="103" max="103" width="15.77734375" customWidth="1"/>
    <col min="106" max="106" width="27.77734375" customWidth="1"/>
    <col min="107" max="107" width="15.77734375" customWidth="1"/>
    <col min="110" max="110" width="27.77734375" customWidth="1"/>
    <col min="111" max="111" width="15.77734375" customWidth="1"/>
    <col min="114" max="114" width="27.77734375" customWidth="1"/>
    <col min="115" max="115" width="15.77734375" customWidth="1"/>
  </cols>
  <sheetData>
    <row r="4" spans="2:76" x14ac:dyDescent="0.25">
      <c r="B4" s="25" t="s">
        <v>688</v>
      </c>
      <c r="C4">
        <v>1</v>
      </c>
      <c r="F4" s="25" t="s">
        <v>495</v>
      </c>
      <c r="G4">
        <v>2</v>
      </c>
      <c r="J4" s="25" t="s">
        <v>496</v>
      </c>
      <c r="K4">
        <v>3</v>
      </c>
      <c r="N4" s="25" t="s">
        <v>497</v>
      </c>
      <c r="O4">
        <v>4</v>
      </c>
      <c r="R4" s="25" t="s">
        <v>498</v>
      </c>
      <c r="S4">
        <v>5</v>
      </c>
      <c r="V4" s="25" t="s">
        <v>499</v>
      </c>
      <c r="W4">
        <v>6</v>
      </c>
      <c r="Z4" s="25" t="s">
        <v>500</v>
      </c>
      <c r="AA4">
        <v>7</v>
      </c>
      <c r="AD4" s="25" t="s">
        <v>501</v>
      </c>
      <c r="AE4">
        <v>8</v>
      </c>
      <c r="AH4" s="25" t="s">
        <v>502</v>
      </c>
      <c r="AI4">
        <v>9</v>
      </c>
      <c r="AL4" s="25" t="s">
        <v>503</v>
      </c>
      <c r="AM4">
        <v>10</v>
      </c>
      <c r="AP4" s="25" t="s">
        <v>504</v>
      </c>
      <c r="AQ4">
        <v>11</v>
      </c>
      <c r="AT4" s="25" t="s">
        <v>505</v>
      </c>
      <c r="AU4">
        <v>12</v>
      </c>
      <c r="AX4" s="25" t="s">
        <v>506</v>
      </c>
      <c r="AY4">
        <v>13</v>
      </c>
      <c r="BB4" s="25" t="s">
        <v>507</v>
      </c>
      <c r="BC4">
        <v>14</v>
      </c>
      <c r="BF4" s="25" t="s">
        <v>508</v>
      </c>
      <c r="BG4">
        <v>15</v>
      </c>
      <c r="BJ4" s="25" t="s">
        <v>509</v>
      </c>
      <c r="BK4">
        <v>16</v>
      </c>
      <c r="BN4" s="25" t="s">
        <v>510</v>
      </c>
      <c r="BO4">
        <v>17</v>
      </c>
      <c r="BR4" s="25" t="s">
        <v>511</v>
      </c>
      <c r="BS4">
        <v>18</v>
      </c>
      <c r="BV4" s="25" t="s">
        <v>512</v>
      </c>
      <c r="BW4">
        <v>19</v>
      </c>
    </row>
    <row r="5" spans="2:76" x14ac:dyDescent="0.25">
      <c r="B5" s="25" t="s">
        <v>523</v>
      </c>
      <c r="C5" s="26" t="s">
        <v>524</v>
      </c>
      <c r="F5" s="25" t="s">
        <v>523</v>
      </c>
      <c r="G5" s="240" t="s">
        <v>525</v>
      </c>
      <c r="J5" s="25" t="s">
        <v>523</v>
      </c>
      <c r="K5" s="240" t="s">
        <v>526</v>
      </c>
      <c r="N5" s="25" t="s">
        <v>523</v>
      </c>
      <c r="O5" s="240" t="s">
        <v>527</v>
      </c>
      <c r="R5" s="25" t="s">
        <v>523</v>
      </c>
      <c r="S5" s="240" t="s">
        <v>528</v>
      </c>
      <c r="V5" s="25" t="s">
        <v>523</v>
      </c>
      <c r="W5" s="240" t="s">
        <v>529</v>
      </c>
      <c r="Z5" s="25" t="s">
        <v>523</v>
      </c>
      <c r="AA5" s="240" t="s">
        <v>530</v>
      </c>
      <c r="AD5" s="25" t="s">
        <v>523</v>
      </c>
      <c r="AE5" s="240" t="s">
        <v>531</v>
      </c>
      <c r="AH5" s="25" t="s">
        <v>523</v>
      </c>
      <c r="AI5" s="240" t="s">
        <v>532</v>
      </c>
      <c r="AL5" s="25" t="s">
        <v>523</v>
      </c>
      <c r="AM5" s="240" t="s">
        <v>533</v>
      </c>
      <c r="AP5" s="25" t="s">
        <v>523</v>
      </c>
      <c r="AQ5" s="240" t="s">
        <v>534</v>
      </c>
      <c r="AT5" s="25" t="s">
        <v>523</v>
      </c>
      <c r="AU5" s="240" t="s">
        <v>535</v>
      </c>
      <c r="AX5" s="25" t="s">
        <v>523</v>
      </c>
      <c r="AY5" s="240" t="s">
        <v>536</v>
      </c>
      <c r="BB5" s="25" t="s">
        <v>523</v>
      </c>
      <c r="BC5" s="240" t="s">
        <v>537</v>
      </c>
      <c r="BF5" s="25" t="s">
        <v>523</v>
      </c>
      <c r="BG5" s="240" t="s">
        <v>538</v>
      </c>
      <c r="BJ5" s="25" t="s">
        <v>523</v>
      </c>
      <c r="BK5" s="240" t="s">
        <v>539</v>
      </c>
      <c r="BN5" s="25" t="s">
        <v>523</v>
      </c>
      <c r="BO5" s="240" t="s">
        <v>540</v>
      </c>
      <c r="BR5" s="25" t="s">
        <v>523</v>
      </c>
      <c r="BS5" s="240" t="s">
        <v>541</v>
      </c>
      <c r="BV5" s="25" t="s">
        <v>523</v>
      </c>
      <c r="BW5" s="240" t="s">
        <v>542</v>
      </c>
    </row>
    <row r="6" spans="2:76" ht="13.8" x14ac:dyDescent="0.3">
      <c r="B6" s="25" t="s">
        <v>553</v>
      </c>
      <c r="C6">
        <f>'Design Calculator'!H56</f>
        <v>175</v>
      </c>
      <c r="D6" s="25" t="s">
        <v>554</v>
      </c>
      <c r="F6" s="25" t="s">
        <v>553</v>
      </c>
      <c r="G6">
        <v>175</v>
      </c>
      <c r="H6" s="25" t="s">
        <v>554</v>
      </c>
      <c r="J6" s="25" t="s">
        <v>553</v>
      </c>
      <c r="K6">
        <v>175</v>
      </c>
      <c r="L6" s="25" t="s">
        <v>554</v>
      </c>
      <c r="N6" s="25" t="s">
        <v>553</v>
      </c>
      <c r="O6">
        <v>175</v>
      </c>
      <c r="P6" s="25" t="s">
        <v>554</v>
      </c>
      <c r="R6" s="25" t="s">
        <v>553</v>
      </c>
      <c r="S6">
        <v>175</v>
      </c>
      <c r="T6" s="25" t="s">
        <v>554</v>
      </c>
      <c r="V6" s="25" t="s">
        <v>553</v>
      </c>
      <c r="W6">
        <v>175</v>
      </c>
      <c r="X6" s="25" t="s">
        <v>554</v>
      </c>
      <c r="Z6" s="25" t="s">
        <v>553</v>
      </c>
      <c r="AA6">
        <v>150</v>
      </c>
      <c r="AB6" s="25" t="s">
        <v>554</v>
      </c>
      <c r="AD6" s="25" t="s">
        <v>553</v>
      </c>
      <c r="AE6" s="2">
        <v>150</v>
      </c>
      <c r="AF6" s="25" t="s">
        <v>554</v>
      </c>
      <c r="AH6" s="25" t="s">
        <v>553</v>
      </c>
      <c r="AI6">
        <v>175</v>
      </c>
      <c r="AJ6" s="25" t="s">
        <v>554</v>
      </c>
      <c r="AL6" s="25" t="s">
        <v>553</v>
      </c>
      <c r="AM6">
        <v>150</v>
      </c>
      <c r="AN6" s="25" t="s">
        <v>554</v>
      </c>
      <c r="AP6" s="25" t="s">
        <v>553</v>
      </c>
      <c r="AQ6">
        <v>175</v>
      </c>
      <c r="AR6" s="25" t="s">
        <v>554</v>
      </c>
      <c r="AT6" s="25" t="s">
        <v>553</v>
      </c>
      <c r="AU6">
        <v>150</v>
      </c>
      <c r="AV6" s="25" t="s">
        <v>554</v>
      </c>
      <c r="AX6" s="25" t="s">
        <v>553</v>
      </c>
      <c r="AY6">
        <v>150</v>
      </c>
      <c r="AZ6" s="25" t="s">
        <v>554</v>
      </c>
      <c r="BB6" s="25" t="s">
        <v>553</v>
      </c>
      <c r="BC6">
        <v>175</v>
      </c>
      <c r="BD6" s="25" t="s">
        <v>554</v>
      </c>
      <c r="BF6" s="25" t="s">
        <v>553</v>
      </c>
      <c r="BG6">
        <v>150</v>
      </c>
      <c r="BH6" s="25" t="s">
        <v>554</v>
      </c>
      <c r="BJ6" s="25" t="s">
        <v>553</v>
      </c>
      <c r="BK6">
        <v>175</v>
      </c>
      <c r="BL6" s="25" t="s">
        <v>554</v>
      </c>
      <c r="BN6" s="25" t="s">
        <v>553</v>
      </c>
      <c r="BO6">
        <v>150</v>
      </c>
      <c r="BP6" s="25" t="s">
        <v>554</v>
      </c>
      <c r="BR6" s="25" t="s">
        <v>553</v>
      </c>
      <c r="BS6">
        <v>150</v>
      </c>
      <c r="BT6" s="25" t="s">
        <v>554</v>
      </c>
      <c r="BV6" s="25" t="s">
        <v>553</v>
      </c>
      <c r="BW6">
        <v>150</v>
      </c>
      <c r="BX6" s="25" t="s">
        <v>554</v>
      </c>
    </row>
    <row r="7" spans="2:76" ht="13.8" x14ac:dyDescent="0.3">
      <c r="B7" s="25" t="s">
        <v>555</v>
      </c>
      <c r="C7">
        <f>'Design Calculator'!H55</f>
        <v>2</v>
      </c>
      <c r="D7" s="25" t="s">
        <v>556</v>
      </c>
      <c r="F7" s="25" t="s">
        <v>555</v>
      </c>
      <c r="G7">
        <v>1.6</v>
      </c>
      <c r="H7" s="25" t="s">
        <v>556</v>
      </c>
      <c r="J7" s="25" t="s">
        <v>555</v>
      </c>
      <c r="K7">
        <v>2</v>
      </c>
      <c r="L7" s="25" t="s">
        <v>556</v>
      </c>
      <c r="N7" s="25" t="s">
        <v>555</v>
      </c>
      <c r="O7">
        <v>2.2000000000000002</v>
      </c>
      <c r="P7" s="25" t="s">
        <v>556</v>
      </c>
      <c r="R7" s="25" t="s">
        <v>555</v>
      </c>
      <c r="S7">
        <v>2.2999999999999998</v>
      </c>
      <c r="T7" s="25" t="s">
        <v>556</v>
      </c>
      <c r="V7" s="25" t="s">
        <v>555</v>
      </c>
      <c r="W7">
        <v>3.1</v>
      </c>
      <c r="X7" s="25" t="s">
        <v>556</v>
      </c>
      <c r="Z7" s="25" t="s">
        <v>555</v>
      </c>
      <c r="AA7">
        <v>3.2</v>
      </c>
      <c r="AB7" s="25" t="s">
        <v>556</v>
      </c>
      <c r="AD7" s="25" t="s">
        <v>555</v>
      </c>
      <c r="AE7">
        <v>3.4</v>
      </c>
      <c r="AF7" s="25" t="s">
        <v>556</v>
      </c>
      <c r="AH7" s="25" t="s">
        <v>555</v>
      </c>
      <c r="AI7">
        <v>4</v>
      </c>
      <c r="AJ7" s="25" t="s">
        <v>556</v>
      </c>
      <c r="AL7" s="25" t="s">
        <v>555</v>
      </c>
      <c r="AM7">
        <v>4.0999999999999996</v>
      </c>
      <c r="AN7" s="25" t="s">
        <v>556</v>
      </c>
      <c r="AP7" s="25" t="s">
        <v>555</v>
      </c>
      <c r="AQ7">
        <v>4.2</v>
      </c>
      <c r="AR7" s="25" t="s">
        <v>556</v>
      </c>
      <c r="AT7" s="25" t="s">
        <v>555</v>
      </c>
      <c r="AU7">
        <v>4.5999999999999996</v>
      </c>
      <c r="AV7" s="25" t="s">
        <v>556</v>
      </c>
      <c r="AX7" s="25" t="s">
        <v>555</v>
      </c>
      <c r="AY7">
        <v>5.9</v>
      </c>
      <c r="AZ7" s="25" t="s">
        <v>556</v>
      </c>
      <c r="BB7" s="25" t="s">
        <v>555</v>
      </c>
      <c r="BC7">
        <v>6.6</v>
      </c>
      <c r="BD7" s="25" t="s">
        <v>556</v>
      </c>
      <c r="BF7" s="25" t="s">
        <v>555</v>
      </c>
      <c r="BG7">
        <v>6.8</v>
      </c>
      <c r="BH7" s="25" t="s">
        <v>556</v>
      </c>
      <c r="BJ7" s="25" t="s">
        <v>555</v>
      </c>
      <c r="BK7">
        <v>9.1999999999999993</v>
      </c>
      <c r="BL7" s="25" t="s">
        <v>556</v>
      </c>
      <c r="BN7" s="25" t="s">
        <v>555</v>
      </c>
      <c r="BO7">
        <v>9.8000000000000007</v>
      </c>
      <c r="BP7" s="25" t="s">
        <v>556</v>
      </c>
      <c r="BR7" s="25" t="s">
        <v>555</v>
      </c>
      <c r="BS7">
        <v>9.9</v>
      </c>
      <c r="BT7" s="25" t="s">
        <v>556</v>
      </c>
      <c r="BV7" s="25" t="s">
        <v>555</v>
      </c>
      <c r="BW7">
        <v>13</v>
      </c>
      <c r="BX7" s="25" t="s">
        <v>556</v>
      </c>
    </row>
    <row r="9" spans="2:76" x14ac:dyDescent="0.25">
      <c r="B9" s="25" t="s">
        <v>557</v>
      </c>
      <c r="F9" s="25" t="s">
        <v>557</v>
      </c>
      <c r="J9" s="25" t="s">
        <v>557</v>
      </c>
      <c r="N9" s="25" t="s">
        <v>557</v>
      </c>
      <c r="R9" s="25" t="s">
        <v>557</v>
      </c>
      <c r="V9" s="25" t="s">
        <v>557</v>
      </c>
      <c r="Z9" s="25" t="s">
        <v>557</v>
      </c>
      <c r="AD9" s="25" t="s">
        <v>557</v>
      </c>
      <c r="AH9" s="25" t="s">
        <v>557</v>
      </c>
      <c r="AL9" s="25" t="s">
        <v>557</v>
      </c>
      <c r="AP9" s="25" t="s">
        <v>557</v>
      </c>
      <c r="AT9" s="25" t="s">
        <v>557</v>
      </c>
      <c r="AX9" s="25" t="s">
        <v>557</v>
      </c>
      <c r="BB9" s="25" t="s">
        <v>557</v>
      </c>
      <c r="BF9" s="25" t="s">
        <v>557</v>
      </c>
      <c r="BJ9" s="25" t="s">
        <v>557</v>
      </c>
      <c r="BN9" s="25" t="s">
        <v>557</v>
      </c>
      <c r="BR9" s="25" t="s">
        <v>557</v>
      </c>
      <c r="BV9" s="25" t="s">
        <v>557</v>
      </c>
    </row>
    <row r="10" spans="2:76" x14ac:dyDescent="0.25">
      <c r="B10" s="25"/>
      <c r="F10" s="25"/>
      <c r="J10" s="25"/>
      <c r="N10" s="25"/>
      <c r="R10" s="25"/>
      <c r="V10" s="25"/>
      <c r="Z10" s="25"/>
      <c r="AD10" s="25"/>
      <c r="AH10" s="25"/>
      <c r="AL10" s="25"/>
      <c r="AP10" s="25"/>
      <c r="AT10" s="25"/>
      <c r="AX10" s="25"/>
      <c r="BB10" s="25"/>
      <c r="BF10" s="25"/>
      <c r="BJ10" s="25"/>
      <c r="BN10" s="25"/>
      <c r="BR10" s="25"/>
      <c r="BV10" s="25"/>
    </row>
    <row r="11" spans="2:76" x14ac:dyDescent="0.25">
      <c r="B11">
        <v>70</v>
      </c>
      <c r="F11">
        <v>70</v>
      </c>
      <c r="G11">
        <v>1.23</v>
      </c>
      <c r="J11">
        <v>70</v>
      </c>
      <c r="K11">
        <v>1.23</v>
      </c>
      <c r="N11">
        <v>70</v>
      </c>
      <c r="O11">
        <v>1.24</v>
      </c>
      <c r="R11">
        <v>70</v>
      </c>
      <c r="S11">
        <v>1.26</v>
      </c>
      <c r="V11">
        <v>70</v>
      </c>
      <c r="W11">
        <v>1.26</v>
      </c>
      <c r="Z11">
        <v>70</v>
      </c>
      <c r="AA11">
        <v>1.33</v>
      </c>
      <c r="AD11">
        <v>70</v>
      </c>
      <c r="AE11">
        <v>1.31</v>
      </c>
      <c r="AH11">
        <v>70</v>
      </c>
      <c r="AI11">
        <v>1.26</v>
      </c>
      <c r="AL11">
        <v>70</v>
      </c>
      <c r="AM11">
        <v>1.28</v>
      </c>
      <c r="AP11">
        <v>70</v>
      </c>
      <c r="AQ11">
        <v>1.27</v>
      </c>
      <c r="AT11">
        <v>70</v>
      </c>
      <c r="AU11">
        <v>1.3</v>
      </c>
      <c r="AX11">
        <v>70</v>
      </c>
      <c r="AY11">
        <v>1.29</v>
      </c>
      <c r="BB11">
        <v>70</v>
      </c>
      <c r="BC11">
        <v>1.27</v>
      </c>
      <c r="BF11">
        <v>70</v>
      </c>
      <c r="BG11">
        <v>1.31</v>
      </c>
      <c r="BJ11">
        <v>70</v>
      </c>
      <c r="BK11">
        <v>1.32</v>
      </c>
      <c r="BN11">
        <v>70</v>
      </c>
      <c r="BO11">
        <v>1.29</v>
      </c>
      <c r="BR11">
        <v>70</v>
      </c>
      <c r="BS11">
        <v>1.27</v>
      </c>
      <c r="BV11">
        <v>70</v>
      </c>
      <c r="BW11">
        <v>1.33</v>
      </c>
    </row>
    <row r="12" spans="2:76" x14ac:dyDescent="0.25">
      <c r="B12">
        <v>75</v>
      </c>
      <c r="F12">
        <v>75</v>
      </c>
      <c r="G12">
        <v>1.26</v>
      </c>
      <c r="J12">
        <v>75</v>
      </c>
      <c r="K12">
        <v>1.26</v>
      </c>
      <c r="N12">
        <v>75</v>
      </c>
      <c r="O12">
        <v>1.26</v>
      </c>
      <c r="R12">
        <v>75</v>
      </c>
      <c r="S12">
        <v>1.29</v>
      </c>
      <c r="V12">
        <v>75</v>
      </c>
      <c r="W12">
        <v>1.29</v>
      </c>
      <c r="Z12">
        <v>75</v>
      </c>
      <c r="AA12">
        <v>1.37</v>
      </c>
      <c r="AD12">
        <v>75</v>
      </c>
      <c r="AE12">
        <v>1.35</v>
      </c>
      <c r="AH12">
        <v>75</v>
      </c>
      <c r="AI12">
        <v>1.3</v>
      </c>
      <c r="AL12">
        <v>75</v>
      </c>
      <c r="AM12">
        <v>1.31</v>
      </c>
      <c r="AP12">
        <v>75</v>
      </c>
      <c r="AQ12">
        <v>1.3</v>
      </c>
      <c r="AT12">
        <v>75</v>
      </c>
      <c r="AU12">
        <v>1.33</v>
      </c>
      <c r="AX12">
        <v>75</v>
      </c>
      <c r="AY12">
        <v>1.33</v>
      </c>
      <c r="BB12">
        <v>75</v>
      </c>
      <c r="BC12">
        <v>1.3</v>
      </c>
      <c r="BF12">
        <v>75</v>
      </c>
      <c r="BG12">
        <v>1.35</v>
      </c>
      <c r="BJ12">
        <v>75</v>
      </c>
      <c r="BK12">
        <v>1.36</v>
      </c>
      <c r="BN12">
        <v>75</v>
      </c>
      <c r="BO12">
        <v>1.32</v>
      </c>
      <c r="BR12">
        <v>75</v>
      </c>
      <c r="BS12">
        <v>1.3</v>
      </c>
      <c r="BV12">
        <v>75</v>
      </c>
      <c r="BW12">
        <v>1.37</v>
      </c>
    </row>
    <row r="13" spans="2:76" x14ac:dyDescent="0.25">
      <c r="B13">
        <v>80</v>
      </c>
      <c r="F13">
        <v>80</v>
      </c>
      <c r="G13">
        <v>1.28</v>
      </c>
      <c r="J13">
        <v>80</v>
      </c>
      <c r="K13">
        <v>1.29</v>
      </c>
      <c r="N13">
        <v>80</v>
      </c>
      <c r="O13">
        <v>1.29</v>
      </c>
      <c r="R13">
        <v>80</v>
      </c>
      <c r="S13">
        <v>1.32</v>
      </c>
      <c r="V13">
        <v>80</v>
      </c>
      <c r="W13">
        <v>1.32</v>
      </c>
      <c r="Z13">
        <v>80</v>
      </c>
      <c r="AA13">
        <v>1.41</v>
      </c>
      <c r="AD13">
        <v>80</v>
      </c>
      <c r="AE13">
        <v>1.39</v>
      </c>
      <c r="AH13">
        <v>80</v>
      </c>
      <c r="AI13">
        <v>1.33</v>
      </c>
      <c r="AL13">
        <v>80</v>
      </c>
      <c r="AM13">
        <v>1.35</v>
      </c>
      <c r="AP13">
        <v>80</v>
      </c>
      <c r="AQ13">
        <v>1.34</v>
      </c>
      <c r="AT13">
        <v>80</v>
      </c>
      <c r="AU13">
        <v>1.36</v>
      </c>
      <c r="AX13">
        <v>80</v>
      </c>
      <c r="AY13">
        <v>1.36</v>
      </c>
      <c r="BB13">
        <v>80</v>
      </c>
      <c r="BC13">
        <v>1.33</v>
      </c>
      <c r="BF13">
        <v>80</v>
      </c>
      <c r="BG13">
        <v>1.39</v>
      </c>
      <c r="BJ13">
        <v>80</v>
      </c>
      <c r="BK13">
        <v>1.41</v>
      </c>
      <c r="BN13">
        <v>80</v>
      </c>
      <c r="BO13">
        <v>1.36</v>
      </c>
      <c r="BR13">
        <v>80</v>
      </c>
      <c r="BS13">
        <v>1.33</v>
      </c>
      <c r="BV13">
        <v>80</v>
      </c>
      <c r="BW13">
        <v>1.41</v>
      </c>
    </row>
    <row r="14" spans="2:76" x14ac:dyDescent="0.25">
      <c r="B14">
        <v>85</v>
      </c>
      <c r="F14">
        <v>85</v>
      </c>
      <c r="G14">
        <v>1.31</v>
      </c>
      <c r="J14">
        <v>85</v>
      </c>
      <c r="K14">
        <v>1.31</v>
      </c>
      <c r="N14">
        <v>85</v>
      </c>
      <c r="O14">
        <v>1.32</v>
      </c>
      <c r="R14">
        <v>85</v>
      </c>
      <c r="S14">
        <v>1.35</v>
      </c>
      <c r="V14">
        <v>85</v>
      </c>
      <c r="W14">
        <v>1.36</v>
      </c>
      <c r="Z14">
        <v>85</v>
      </c>
      <c r="AA14">
        <v>1.46</v>
      </c>
      <c r="AD14">
        <v>85</v>
      </c>
      <c r="AE14">
        <v>1.43</v>
      </c>
      <c r="AH14">
        <v>85</v>
      </c>
      <c r="AI14">
        <v>1.36</v>
      </c>
      <c r="AL14">
        <v>85</v>
      </c>
      <c r="AM14">
        <v>1.38</v>
      </c>
      <c r="AP14">
        <v>85</v>
      </c>
      <c r="AQ14">
        <v>1.37</v>
      </c>
      <c r="AT14">
        <v>85</v>
      </c>
      <c r="AU14">
        <v>1.4</v>
      </c>
      <c r="AX14">
        <v>85</v>
      </c>
      <c r="AY14">
        <v>1.4</v>
      </c>
      <c r="BB14">
        <v>85</v>
      </c>
      <c r="BC14">
        <v>1.37</v>
      </c>
      <c r="BF14">
        <v>85</v>
      </c>
      <c r="BG14">
        <v>1.43</v>
      </c>
      <c r="BJ14">
        <v>85</v>
      </c>
      <c r="BK14">
        <v>1.45</v>
      </c>
      <c r="BN14">
        <v>85</v>
      </c>
      <c r="BO14">
        <v>1.39</v>
      </c>
      <c r="BR14">
        <v>85</v>
      </c>
      <c r="BS14">
        <v>1.36</v>
      </c>
      <c r="BV14">
        <v>85</v>
      </c>
      <c r="BW14">
        <v>1.45</v>
      </c>
    </row>
    <row r="15" spans="2:76" x14ac:dyDescent="0.25">
      <c r="B15">
        <v>90</v>
      </c>
      <c r="F15">
        <v>90</v>
      </c>
      <c r="G15" s="25">
        <v>1.34</v>
      </c>
      <c r="J15">
        <v>90</v>
      </c>
      <c r="K15" s="25">
        <v>1.34</v>
      </c>
      <c r="N15">
        <v>90</v>
      </c>
      <c r="O15" s="25">
        <v>1.35</v>
      </c>
      <c r="R15">
        <v>90</v>
      </c>
      <c r="S15" s="25">
        <v>1.38</v>
      </c>
      <c r="V15">
        <v>90</v>
      </c>
      <c r="W15" s="25">
        <v>1.39</v>
      </c>
      <c r="Z15">
        <v>90</v>
      </c>
      <c r="AA15" s="25">
        <v>1.5</v>
      </c>
      <c r="AD15">
        <v>90</v>
      </c>
      <c r="AE15" s="25">
        <v>1.47</v>
      </c>
      <c r="AH15">
        <v>90</v>
      </c>
      <c r="AI15" s="25">
        <v>1.4</v>
      </c>
      <c r="AL15">
        <v>90</v>
      </c>
      <c r="AM15" s="25">
        <v>1.41</v>
      </c>
      <c r="AP15">
        <v>90</v>
      </c>
      <c r="AQ15" s="25">
        <v>1.4</v>
      </c>
      <c r="AT15">
        <v>90</v>
      </c>
      <c r="AU15" s="25">
        <v>1.43</v>
      </c>
      <c r="AX15">
        <v>90</v>
      </c>
      <c r="AY15" s="25">
        <v>1.43</v>
      </c>
      <c r="BB15">
        <v>90</v>
      </c>
      <c r="BC15" s="25">
        <v>1.4</v>
      </c>
      <c r="BF15">
        <v>90</v>
      </c>
      <c r="BG15" s="25">
        <v>1.47</v>
      </c>
      <c r="BJ15">
        <v>90</v>
      </c>
      <c r="BK15" s="25">
        <v>1.49</v>
      </c>
      <c r="BN15">
        <v>90</v>
      </c>
      <c r="BO15" s="25">
        <v>1.43</v>
      </c>
      <c r="BR15">
        <v>90</v>
      </c>
      <c r="BS15" s="25">
        <v>1.4</v>
      </c>
      <c r="BV15">
        <v>90</v>
      </c>
      <c r="BW15" s="25">
        <v>1.49</v>
      </c>
    </row>
    <row r="16" spans="2:76" x14ac:dyDescent="0.25">
      <c r="B16">
        <v>95</v>
      </c>
      <c r="F16">
        <v>95</v>
      </c>
      <c r="G16" s="25">
        <v>1.37</v>
      </c>
      <c r="J16">
        <v>95</v>
      </c>
      <c r="K16" s="25">
        <v>1.37</v>
      </c>
      <c r="N16">
        <v>95</v>
      </c>
      <c r="O16" s="25">
        <v>1.38</v>
      </c>
      <c r="R16">
        <v>95</v>
      </c>
      <c r="S16" s="25">
        <v>1.42</v>
      </c>
      <c r="V16">
        <v>95</v>
      </c>
      <c r="W16" s="25">
        <v>1.42</v>
      </c>
      <c r="Z16">
        <v>95</v>
      </c>
      <c r="AA16" s="25">
        <v>1.55</v>
      </c>
      <c r="AD16">
        <v>95</v>
      </c>
      <c r="AE16" s="25">
        <v>1.52</v>
      </c>
      <c r="AH16">
        <v>95</v>
      </c>
      <c r="AI16" s="25">
        <v>1.43</v>
      </c>
      <c r="AL16">
        <v>95</v>
      </c>
      <c r="AM16" s="25">
        <v>1.45</v>
      </c>
      <c r="AP16">
        <v>95</v>
      </c>
      <c r="AQ16" s="25">
        <v>1.44</v>
      </c>
      <c r="AT16">
        <v>95</v>
      </c>
      <c r="AU16" s="25">
        <v>1.47</v>
      </c>
      <c r="AX16">
        <v>95</v>
      </c>
      <c r="AY16" s="25">
        <v>1.47</v>
      </c>
      <c r="BB16">
        <v>95</v>
      </c>
      <c r="BC16" s="25">
        <v>1.43</v>
      </c>
      <c r="BF16">
        <v>95</v>
      </c>
      <c r="BG16" s="25">
        <v>1.51</v>
      </c>
      <c r="BJ16">
        <v>95</v>
      </c>
      <c r="BK16" s="25">
        <v>1.54</v>
      </c>
      <c r="BN16">
        <v>95</v>
      </c>
      <c r="BO16" s="25">
        <v>1.46</v>
      </c>
      <c r="BR16">
        <v>95</v>
      </c>
      <c r="BS16" s="25">
        <v>1.43</v>
      </c>
      <c r="BV16">
        <v>95</v>
      </c>
      <c r="BW16" s="25">
        <v>1.54</v>
      </c>
    </row>
    <row r="17" spans="2:76" x14ac:dyDescent="0.25">
      <c r="B17">
        <v>100</v>
      </c>
      <c r="F17">
        <v>100</v>
      </c>
      <c r="G17" s="25">
        <v>1.4</v>
      </c>
      <c r="J17">
        <v>100</v>
      </c>
      <c r="K17" s="25">
        <v>1.4</v>
      </c>
      <c r="N17">
        <v>100</v>
      </c>
      <c r="O17" s="25">
        <v>1.42</v>
      </c>
      <c r="R17">
        <v>100</v>
      </c>
      <c r="S17" s="25">
        <v>1.45</v>
      </c>
      <c r="V17">
        <v>100</v>
      </c>
      <c r="W17" s="25">
        <v>1.46</v>
      </c>
      <c r="Z17">
        <v>100</v>
      </c>
      <c r="AA17" s="25">
        <v>1.59</v>
      </c>
      <c r="AD17">
        <v>100</v>
      </c>
      <c r="AE17" s="25">
        <v>1.56</v>
      </c>
      <c r="AH17">
        <v>100</v>
      </c>
      <c r="AI17" s="25">
        <v>1.47</v>
      </c>
      <c r="AL17">
        <v>100</v>
      </c>
      <c r="AM17" s="25">
        <v>1.48</v>
      </c>
      <c r="AP17">
        <v>100</v>
      </c>
      <c r="AQ17" s="25">
        <v>1.48</v>
      </c>
      <c r="AT17">
        <v>100</v>
      </c>
      <c r="AU17" s="25">
        <v>1.51</v>
      </c>
      <c r="AX17">
        <v>100</v>
      </c>
      <c r="AY17" s="25">
        <v>1.5</v>
      </c>
      <c r="BB17">
        <v>100</v>
      </c>
      <c r="BC17" s="25">
        <v>1.47</v>
      </c>
      <c r="BF17">
        <v>100</v>
      </c>
      <c r="BG17" s="25">
        <v>1.56</v>
      </c>
      <c r="BJ17">
        <v>100</v>
      </c>
      <c r="BK17" s="25">
        <v>1.58</v>
      </c>
      <c r="BN17">
        <v>100</v>
      </c>
      <c r="BO17" s="25">
        <v>1.5</v>
      </c>
      <c r="BR17">
        <v>100</v>
      </c>
      <c r="BS17" s="25">
        <v>1.46</v>
      </c>
      <c r="BV17">
        <v>100</v>
      </c>
      <c r="BW17" s="25">
        <v>1.58</v>
      </c>
    </row>
    <row r="18" spans="2:76" x14ac:dyDescent="0.25">
      <c r="B18">
        <v>105</v>
      </c>
      <c r="F18">
        <v>105</v>
      </c>
      <c r="G18" s="25">
        <v>1.43</v>
      </c>
      <c r="J18">
        <v>105</v>
      </c>
      <c r="K18" s="25">
        <v>1.44</v>
      </c>
      <c r="N18">
        <v>105</v>
      </c>
      <c r="O18" s="25">
        <v>1.45</v>
      </c>
      <c r="R18">
        <v>105</v>
      </c>
      <c r="S18" s="25">
        <v>1.48</v>
      </c>
      <c r="V18">
        <v>105</v>
      </c>
      <c r="W18" s="25">
        <v>1.49</v>
      </c>
      <c r="Z18">
        <v>105</v>
      </c>
      <c r="AA18" s="25">
        <v>1.64</v>
      </c>
      <c r="AD18">
        <v>105</v>
      </c>
      <c r="AE18" s="25">
        <v>1.61</v>
      </c>
      <c r="AH18">
        <v>105</v>
      </c>
      <c r="AI18" s="25">
        <v>1.5</v>
      </c>
      <c r="AL18">
        <v>105</v>
      </c>
      <c r="AM18" s="25">
        <v>1.52</v>
      </c>
      <c r="AP18">
        <v>105</v>
      </c>
      <c r="AQ18" s="25">
        <v>1.51</v>
      </c>
      <c r="AT18">
        <v>105</v>
      </c>
      <c r="AU18" s="25">
        <v>1.54</v>
      </c>
      <c r="AX18">
        <v>105</v>
      </c>
      <c r="AY18" s="25">
        <v>1.54</v>
      </c>
      <c r="BB18">
        <v>105</v>
      </c>
      <c r="BC18" s="25">
        <v>1.5</v>
      </c>
      <c r="BF18">
        <v>105</v>
      </c>
      <c r="BG18" s="25">
        <v>1.6</v>
      </c>
      <c r="BJ18">
        <v>105</v>
      </c>
      <c r="BK18" s="25">
        <v>1.63</v>
      </c>
      <c r="BN18">
        <v>105</v>
      </c>
      <c r="BO18" s="25">
        <v>1.54</v>
      </c>
      <c r="BR18">
        <v>105</v>
      </c>
      <c r="BS18" s="25">
        <v>1.5</v>
      </c>
      <c r="BV18">
        <v>105</v>
      </c>
      <c r="BW18" s="25">
        <v>1.63</v>
      </c>
    </row>
    <row r="19" spans="2:76" x14ac:dyDescent="0.25">
      <c r="B19">
        <v>110</v>
      </c>
      <c r="F19">
        <v>110</v>
      </c>
      <c r="G19" s="25">
        <v>1.46</v>
      </c>
      <c r="J19">
        <v>110</v>
      </c>
      <c r="K19" s="25">
        <v>1.47</v>
      </c>
      <c r="N19">
        <v>110</v>
      </c>
      <c r="O19" s="25">
        <v>1.48</v>
      </c>
      <c r="R19">
        <v>110</v>
      </c>
      <c r="S19" s="25">
        <v>1.52</v>
      </c>
      <c r="V19">
        <v>110</v>
      </c>
      <c r="W19" s="25">
        <v>1.53</v>
      </c>
      <c r="Z19">
        <v>110</v>
      </c>
      <c r="AA19" s="25">
        <v>1.69</v>
      </c>
      <c r="AD19">
        <v>110</v>
      </c>
      <c r="AE19" s="25">
        <v>1.65</v>
      </c>
      <c r="AH19">
        <v>110</v>
      </c>
      <c r="AI19" s="25">
        <v>1.54</v>
      </c>
      <c r="AL19">
        <v>110</v>
      </c>
      <c r="AM19" s="25">
        <v>1.56</v>
      </c>
      <c r="AP19">
        <v>110</v>
      </c>
      <c r="AQ19" s="25">
        <v>1.55</v>
      </c>
      <c r="AT19">
        <v>110</v>
      </c>
      <c r="AU19" s="25">
        <v>1.58</v>
      </c>
      <c r="AX19">
        <v>110</v>
      </c>
      <c r="AY19" s="25">
        <v>1.58</v>
      </c>
      <c r="BB19">
        <v>110</v>
      </c>
      <c r="BC19" s="25">
        <v>1.54</v>
      </c>
      <c r="BF19">
        <v>110</v>
      </c>
      <c r="BG19" s="25">
        <v>1.65</v>
      </c>
      <c r="BJ19">
        <v>110</v>
      </c>
      <c r="BK19" s="25">
        <v>1.68</v>
      </c>
      <c r="BN19">
        <v>110</v>
      </c>
      <c r="BO19" s="25">
        <v>1.58</v>
      </c>
      <c r="BR19">
        <v>110</v>
      </c>
      <c r="BS19" s="25">
        <v>1.53</v>
      </c>
      <c r="BV19">
        <v>110</v>
      </c>
      <c r="BW19" s="25">
        <v>1.67</v>
      </c>
    </row>
    <row r="20" spans="2:76" x14ac:dyDescent="0.25">
      <c r="B20">
        <v>115</v>
      </c>
      <c r="F20">
        <v>115</v>
      </c>
      <c r="G20" s="25">
        <v>1.49</v>
      </c>
      <c r="J20">
        <v>115</v>
      </c>
      <c r="K20" s="25">
        <v>1.5</v>
      </c>
      <c r="N20">
        <v>115</v>
      </c>
      <c r="O20" s="25">
        <v>1.51</v>
      </c>
      <c r="R20">
        <v>115</v>
      </c>
      <c r="S20" s="25">
        <v>1.55</v>
      </c>
      <c r="V20">
        <v>115</v>
      </c>
      <c r="W20" s="25">
        <v>1.56</v>
      </c>
      <c r="Z20">
        <v>115</v>
      </c>
      <c r="AA20" s="25">
        <v>1.74</v>
      </c>
      <c r="AD20">
        <v>115</v>
      </c>
      <c r="AE20" s="25">
        <v>1.7</v>
      </c>
      <c r="AH20">
        <v>115</v>
      </c>
      <c r="AI20" s="25">
        <v>1.57</v>
      </c>
      <c r="AL20">
        <v>115</v>
      </c>
      <c r="AM20" s="25">
        <v>1.59</v>
      </c>
      <c r="AP20">
        <v>115</v>
      </c>
      <c r="AQ20" s="25">
        <v>1.59</v>
      </c>
      <c r="AT20">
        <v>115</v>
      </c>
      <c r="AU20" s="25">
        <v>1.62</v>
      </c>
      <c r="AX20">
        <v>115</v>
      </c>
      <c r="AY20" s="25">
        <v>1.62</v>
      </c>
      <c r="BB20">
        <v>115</v>
      </c>
      <c r="BC20" s="25">
        <v>1.58</v>
      </c>
      <c r="BF20">
        <v>115</v>
      </c>
      <c r="BG20" s="25">
        <v>1.69</v>
      </c>
      <c r="BJ20">
        <v>115</v>
      </c>
      <c r="BK20" s="25">
        <v>1.72</v>
      </c>
      <c r="BN20">
        <v>115</v>
      </c>
      <c r="BO20" s="25">
        <v>1.61</v>
      </c>
      <c r="BR20">
        <v>115</v>
      </c>
      <c r="BS20" s="25">
        <v>1.57</v>
      </c>
      <c r="BV20">
        <v>115</v>
      </c>
      <c r="BW20" s="25">
        <v>1.72</v>
      </c>
    </row>
    <row r="21" spans="2:76" x14ac:dyDescent="0.25">
      <c r="B21">
        <v>120</v>
      </c>
      <c r="F21">
        <v>120</v>
      </c>
      <c r="G21" s="25">
        <v>1.52</v>
      </c>
      <c r="J21">
        <v>120</v>
      </c>
      <c r="K21" s="25">
        <v>1.53</v>
      </c>
      <c r="N21">
        <v>120</v>
      </c>
      <c r="O21" s="25">
        <v>1.55</v>
      </c>
      <c r="R21">
        <v>120</v>
      </c>
      <c r="S21" s="25">
        <v>1.59</v>
      </c>
      <c r="V21">
        <v>120</v>
      </c>
      <c r="W21" s="25">
        <v>1.6</v>
      </c>
      <c r="Z21">
        <v>120</v>
      </c>
      <c r="AA21" s="25">
        <v>1.79</v>
      </c>
      <c r="AD21">
        <v>120</v>
      </c>
      <c r="AE21" s="25">
        <v>1.75</v>
      </c>
      <c r="AH21">
        <v>120</v>
      </c>
      <c r="AI21" s="25">
        <v>1.61</v>
      </c>
      <c r="AL21">
        <v>120</v>
      </c>
      <c r="AM21" s="25">
        <v>1.63</v>
      </c>
      <c r="AP21">
        <v>120</v>
      </c>
      <c r="AQ21" s="25">
        <v>1.62</v>
      </c>
      <c r="AT21">
        <v>120</v>
      </c>
      <c r="AU21" s="25">
        <v>1.66</v>
      </c>
      <c r="AX21">
        <v>120</v>
      </c>
      <c r="AY21" s="25">
        <v>1.65</v>
      </c>
      <c r="BB21">
        <v>120</v>
      </c>
      <c r="BC21" s="25">
        <v>1.61</v>
      </c>
      <c r="BF21">
        <v>120</v>
      </c>
      <c r="BG21" s="25">
        <v>1.74</v>
      </c>
      <c r="BJ21">
        <v>120</v>
      </c>
      <c r="BK21" s="25">
        <v>1.77</v>
      </c>
      <c r="BN21">
        <v>120</v>
      </c>
      <c r="BO21" s="25">
        <v>1.65</v>
      </c>
      <c r="BR21">
        <v>120</v>
      </c>
      <c r="BS21" s="25">
        <v>1.6</v>
      </c>
      <c r="BV21">
        <v>120</v>
      </c>
      <c r="BW21" s="25">
        <v>1.77</v>
      </c>
    </row>
    <row r="22" spans="2:76" x14ac:dyDescent="0.25">
      <c r="B22">
        <v>125</v>
      </c>
      <c r="F22">
        <v>125</v>
      </c>
      <c r="G22" s="25">
        <v>1.56</v>
      </c>
      <c r="J22">
        <v>125</v>
      </c>
      <c r="K22" s="25">
        <v>1.56</v>
      </c>
      <c r="N22">
        <v>125</v>
      </c>
      <c r="O22" s="25">
        <v>1.58</v>
      </c>
      <c r="R22">
        <v>125</v>
      </c>
      <c r="S22" s="25">
        <v>1.62</v>
      </c>
      <c r="V22">
        <v>125</v>
      </c>
      <c r="W22" s="25">
        <v>1.64</v>
      </c>
      <c r="Z22">
        <v>125</v>
      </c>
      <c r="AA22" s="25">
        <v>1.84</v>
      </c>
      <c r="AD22">
        <v>125</v>
      </c>
      <c r="AE22" s="25">
        <v>1.8</v>
      </c>
      <c r="AH22">
        <v>125</v>
      </c>
      <c r="AI22" s="25">
        <v>1.65</v>
      </c>
      <c r="AL22">
        <v>125</v>
      </c>
      <c r="AM22" s="25">
        <v>1.67</v>
      </c>
      <c r="AP22">
        <v>125</v>
      </c>
      <c r="AQ22" s="25">
        <v>1.66</v>
      </c>
      <c r="AT22">
        <v>125</v>
      </c>
      <c r="AU22" s="25">
        <v>1.7</v>
      </c>
      <c r="AX22">
        <v>125</v>
      </c>
      <c r="AY22" s="25">
        <v>1.69</v>
      </c>
      <c r="BB22">
        <v>125</v>
      </c>
      <c r="BC22" s="25">
        <v>1.65</v>
      </c>
      <c r="BF22">
        <v>125</v>
      </c>
      <c r="BG22" s="25">
        <v>1.79</v>
      </c>
      <c r="BJ22">
        <v>125</v>
      </c>
      <c r="BK22" s="25">
        <v>1.82</v>
      </c>
      <c r="BN22">
        <v>125</v>
      </c>
      <c r="BO22" s="25">
        <v>1.69</v>
      </c>
      <c r="BR22">
        <v>125</v>
      </c>
      <c r="BS22" s="25">
        <v>1.64</v>
      </c>
      <c r="BV22">
        <v>125</v>
      </c>
      <c r="BW22" s="25">
        <v>1.82</v>
      </c>
    </row>
    <row r="23" spans="2:76" x14ac:dyDescent="0.25">
      <c r="B23">
        <v>130</v>
      </c>
      <c r="F23">
        <v>130</v>
      </c>
      <c r="G23" s="25">
        <v>1.59</v>
      </c>
      <c r="J23">
        <v>130</v>
      </c>
      <c r="K23" s="25">
        <v>1.6</v>
      </c>
      <c r="N23">
        <v>130</v>
      </c>
      <c r="O23" s="25">
        <v>1.61</v>
      </c>
      <c r="R23">
        <v>130</v>
      </c>
      <c r="S23" s="25">
        <v>1.66</v>
      </c>
      <c r="V23">
        <v>130</v>
      </c>
      <c r="W23" s="25">
        <v>1.67</v>
      </c>
      <c r="Z23">
        <v>130</v>
      </c>
      <c r="AA23" s="25">
        <v>1.89</v>
      </c>
      <c r="AD23">
        <v>130</v>
      </c>
      <c r="AE23" s="25">
        <v>1.85</v>
      </c>
      <c r="AH23">
        <v>130</v>
      </c>
      <c r="AI23" s="25">
        <v>1.68</v>
      </c>
      <c r="AL23">
        <v>130</v>
      </c>
      <c r="AM23" s="25">
        <v>1.71</v>
      </c>
      <c r="AP23">
        <v>130</v>
      </c>
      <c r="AQ23" s="25">
        <v>1.7</v>
      </c>
      <c r="AT23">
        <v>130</v>
      </c>
      <c r="AU23" s="25">
        <v>1.73</v>
      </c>
      <c r="AX23">
        <v>130</v>
      </c>
      <c r="AY23" s="25">
        <v>1.73</v>
      </c>
      <c r="BB23">
        <v>130</v>
      </c>
      <c r="BC23" s="25">
        <v>1.69</v>
      </c>
      <c r="BF23">
        <v>130</v>
      </c>
      <c r="BG23" s="25">
        <v>1.84</v>
      </c>
      <c r="BJ23">
        <v>130</v>
      </c>
      <c r="BK23" s="25">
        <v>1.88</v>
      </c>
      <c r="BN23">
        <v>130</v>
      </c>
      <c r="BO23" s="25">
        <v>1.73</v>
      </c>
      <c r="BR23">
        <v>130</v>
      </c>
      <c r="BS23" s="25">
        <v>1.68</v>
      </c>
      <c r="BV23">
        <v>130</v>
      </c>
      <c r="BW23" s="25">
        <v>1.87</v>
      </c>
    </row>
    <row r="24" spans="2:76" x14ac:dyDescent="0.25">
      <c r="AI24" s="25"/>
      <c r="AM24" s="25"/>
      <c r="AQ24" s="25"/>
      <c r="AU24" s="25"/>
      <c r="AY24" s="25"/>
      <c r="BC24" s="25"/>
      <c r="BG24" s="25"/>
      <c r="BK24" s="25"/>
      <c r="BO24" s="25"/>
      <c r="BS24" s="25"/>
      <c r="BW24" s="25"/>
    </row>
    <row r="25" spans="2:76" x14ac:dyDescent="0.25">
      <c r="B25" s="25" t="s">
        <v>558</v>
      </c>
      <c r="C25">
        <f>IOUTMAX</f>
        <v>50</v>
      </c>
      <c r="D25" s="25" t="s">
        <v>25</v>
      </c>
      <c r="F25" s="25" t="s">
        <v>558</v>
      </c>
      <c r="G25">
        <f>IOUTMAX</f>
        <v>50</v>
      </c>
      <c r="H25" s="25" t="s">
        <v>25</v>
      </c>
      <c r="J25" s="25" t="s">
        <v>558</v>
      </c>
      <c r="K25">
        <f>IOUTMAX</f>
        <v>50</v>
      </c>
      <c r="L25" s="25" t="s">
        <v>25</v>
      </c>
      <c r="N25" s="25" t="s">
        <v>558</v>
      </c>
      <c r="O25">
        <f>IOUTMAX</f>
        <v>50</v>
      </c>
      <c r="P25" s="25" t="s">
        <v>25</v>
      </c>
      <c r="R25" s="25" t="s">
        <v>558</v>
      </c>
      <c r="S25">
        <f>IOUTMAX</f>
        <v>50</v>
      </c>
      <c r="T25" s="25" t="s">
        <v>25</v>
      </c>
      <c r="V25" s="25" t="s">
        <v>558</v>
      </c>
      <c r="W25">
        <f>IOUTMAX</f>
        <v>50</v>
      </c>
      <c r="X25" s="25" t="s">
        <v>25</v>
      </c>
      <c r="Z25" s="25" t="s">
        <v>558</v>
      </c>
      <c r="AA25">
        <f>IOUTMAX</f>
        <v>50</v>
      </c>
      <c r="AB25" s="25" t="s">
        <v>25</v>
      </c>
      <c r="AD25" s="25" t="s">
        <v>558</v>
      </c>
      <c r="AE25">
        <f>IOUTMAX</f>
        <v>50</v>
      </c>
      <c r="AF25" s="25" t="s">
        <v>25</v>
      </c>
      <c r="AH25" s="25" t="s">
        <v>558</v>
      </c>
      <c r="AI25">
        <f>IOUTMAX</f>
        <v>50</v>
      </c>
      <c r="AJ25" s="25" t="s">
        <v>25</v>
      </c>
      <c r="AL25" s="25" t="s">
        <v>558</v>
      </c>
      <c r="AM25">
        <f>IOUTMAX</f>
        <v>50</v>
      </c>
      <c r="AN25" s="25" t="s">
        <v>25</v>
      </c>
      <c r="AP25" s="25" t="s">
        <v>558</v>
      </c>
      <c r="AQ25">
        <f>IOUTMAX</f>
        <v>50</v>
      </c>
      <c r="AR25" s="25" t="s">
        <v>25</v>
      </c>
      <c r="AT25" s="25" t="s">
        <v>558</v>
      </c>
      <c r="AU25">
        <f>IOUTMAX</f>
        <v>50</v>
      </c>
      <c r="AV25" s="25" t="s">
        <v>25</v>
      </c>
      <c r="AX25" s="25" t="s">
        <v>558</v>
      </c>
      <c r="AY25">
        <f>IOUTMAX</f>
        <v>50</v>
      </c>
      <c r="AZ25" s="25" t="s">
        <v>25</v>
      </c>
      <c r="BB25" s="25" t="s">
        <v>558</v>
      </c>
      <c r="BC25">
        <f>IOUTMAX</f>
        <v>50</v>
      </c>
      <c r="BD25" s="25" t="s">
        <v>25</v>
      </c>
      <c r="BF25" s="25" t="s">
        <v>558</v>
      </c>
      <c r="BG25">
        <f>IOUTMAX</f>
        <v>50</v>
      </c>
      <c r="BH25" s="25" t="s">
        <v>25</v>
      </c>
      <c r="BJ25" s="25" t="s">
        <v>558</v>
      </c>
      <c r="BK25">
        <f>IOUTMAX</f>
        <v>50</v>
      </c>
      <c r="BL25" s="25" t="s">
        <v>25</v>
      </c>
      <c r="BN25" s="25" t="s">
        <v>558</v>
      </c>
      <c r="BO25">
        <f>IOUTMAX</f>
        <v>50</v>
      </c>
      <c r="BP25" s="25" t="s">
        <v>25</v>
      </c>
      <c r="BR25" s="25" t="s">
        <v>558</v>
      </c>
      <c r="BS25">
        <f>IOUTMAX</f>
        <v>50</v>
      </c>
      <c r="BT25" s="25" t="s">
        <v>25</v>
      </c>
      <c r="BV25" s="25" t="s">
        <v>558</v>
      </c>
      <c r="BW25">
        <f>IOUTMAX</f>
        <v>50</v>
      </c>
      <c r="BX25" s="25" t="s">
        <v>25</v>
      </c>
    </row>
    <row r="26" spans="2:76" ht="13.8" x14ac:dyDescent="0.3">
      <c r="B26" s="25" t="s">
        <v>559</v>
      </c>
      <c r="C26">
        <f>TAMB</f>
        <v>50</v>
      </c>
      <c r="D26" s="25" t="s">
        <v>554</v>
      </c>
      <c r="F26" s="25" t="s">
        <v>559</v>
      </c>
      <c r="G26">
        <f>TAMB</f>
        <v>50</v>
      </c>
      <c r="H26" s="25" t="s">
        <v>554</v>
      </c>
      <c r="J26" s="25" t="s">
        <v>559</v>
      </c>
      <c r="K26">
        <f>TAMB</f>
        <v>50</v>
      </c>
      <c r="L26" s="25" t="s">
        <v>554</v>
      </c>
      <c r="N26" s="25" t="s">
        <v>559</v>
      </c>
      <c r="O26">
        <f>TAMB</f>
        <v>50</v>
      </c>
      <c r="P26" s="25" t="s">
        <v>554</v>
      </c>
      <c r="R26" s="25" t="s">
        <v>559</v>
      </c>
      <c r="S26">
        <f>TAMB</f>
        <v>50</v>
      </c>
      <c r="T26" s="25" t="s">
        <v>554</v>
      </c>
      <c r="V26" s="25" t="s">
        <v>559</v>
      </c>
      <c r="W26">
        <f>TAMB</f>
        <v>50</v>
      </c>
      <c r="X26" s="25" t="s">
        <v>554</v>
      </c>
      <c r="Z26" s="25" t="s">
        <v>559</v>
      </c>
      <c r="AA26">
        <f>TAMB</f>
        <v>50</v>
      </c>
      <c r="AB26" s="25" t="s">
        <v>554</v>
      </c>
      <c r="AD26" s="25" t="s">
        <v>559</v>
      </c>
      <c r="AE26">
        <f>TAMB</f>
        <v>50</v>
      </c>
      <c r="AF26" s="25" t="s">
        <v>554</v>
      </c>
      <c r="AH26" s="25" t="s">
        <v>559</v>
      </c>
      <c r="AI26">
        <f>TAMB</f>
        <v>50</v>
      </c>
      <c r="AJ26" s="25" t="s">
        <v>554</v>
      </c>
      <c r="AL26" s="25" t="s">
        <v>559</v>
      </c>
      <c r="AM26">
        <f>TAMB</f>
        <v>50</v>
      </c>
      <c r="AN26" s="25" t="s">
        <v>554</v>
      </c>
      <c r="AP26" s="25" t="s">
        <v>559</v>
      </c>
      <c r="AQ26">
        <f>TAMB</f>
        <v>50</v>
      </c>
      <c r="AR26" s="25" t="s">
        <v>554</v>
      </c>
      <c r="AT26" s="25" t="s">
        <v>559</v>
      </c>
      <c r="AU26">
        <f>TAMB</f>
        <v>50</v>
      </c>
      <c r="AV26" s="25" t="s">
        <v>554</v>
      </c>
      <c r="AX26" s="25" t="s">
        <v>559</v>
      </c>
      <c r="AY26">
        <f>TAMB</f>
        <v>50</v>
      </c>
      <c r="AZ26" s="25" t="s">
        <v>554</v>
      </c>
      <c r="BB26" s="25" t="s">
        <v>559</v>
      </c>
      <c r="BC26">
        <f>TAMB</f>
        <v>50</v>
      </c>
      <c r="BD26" s="25" t="s">
        <v>554</v>
      </c>
      <c r="BF26" s="25" t="s">
        <v>559</v>
      </c>
      <c r="BG26">
        <f>TAMB</f>
        <v>50</v>
      </c>
      <c r="BH26" s="25" t="s">
        <v>554</v>
      </c>
      <c r="BJ26" s="25" t="s">
        <v>559</v>
      </c>
      <c r="BK26">
        <f>TAMB</f>
        <v>50</v>
      </c>
      <c r="BL26" s="25" t="s">
        <v>554</v>
      </c>
      <c r="BN26" s="25" t="s">
        <v>559</v>
      </c>
      <c r="BO26">
        <f>TAMB</f>
        <v>50</v>
      </c>
      <c r="BP26" s="25" t="s">
        <v>554</v>
      </c>
      <c r="BR26" s="25" t="s">
        <v>559</v>
      </c>
      <c r="BS26">
        <f>TAMB</f>
        <v>50</v>
      </c>
      <c r="BT26" s="25" t="s">
        <v>554</v>
      </c>
      <c r="BV26" s="25" t="s">
        <v>559</v>
      </c>
      <c r="BW26">
        <f>TAMB</f>
        <v>50</v>
      </c>
      <c r="BX26" s="25" t="s">
        <v>554</v>
      </c>
    </row>
    <row r="27" spans="2:76" ht="15.6" x14ac:dyDescent="0.35">
      <c r="B27" s="29" t="s">
        <v>560</v>
      </c>
      <c r="C27">
        <f>ThetaJA</f>
        <v>100</v>
      </c>
      <c r="D27" s="25" t="s">
        <v>561</v>
      </c>
      <c r="F27" s="29" t="s">
        <v>560</v>
      </c>
      <c r="G27">
        <f>ThetaJA</f>
        <v>100</v>
      </c>
      <c r="H27" s="25" t="s">
        <v>561</v>
      </c>
      <c r="J27" s="29" t="s">
        <v>560</v>
      </c>
      <c r="K27">
        <f>ThetaJA</f>
        <v>100</v>
      </c>
      <c r="L27" s="25" t="s">
        <v>561</v>
      </c>
      <c r="N27" s="29" t="s">
        <v>560</v>
      </c>
      <c r="O27">
        <f>ThetaJA</f>
        <v>100</v>
      </c>
      <c r="P27" s="25" t="s">
        <v>561</v>
      </c>
      <c r="R27" s="29" t="s">
        <v>560</v>
      </c>
      <c r="S27">
        <f>ThetaJA</f>
        <v>100</v>
      </c>
      <c r="T27" s="25" t="s">
        <v>561</v>
      </c>
      <c r="V27" s="29" t="s">
        <v>560</v>
      </c>
      <c r="W27">
        <f>ThetaJA</f>
        <v>100</v>
      </c>
      <c r="X27" s="25" t="s">
        <v>561</v>
      </c>
      <c r="Z27" s="29" t="s">
        <v>560</v>
      </c>
      <c r="AA27">
        <f>ThetaJA</f>
        <v>100</v>
      </c>
      <c r="AB27" s="25" t="s">
        <v>561</v>
      </c>
      <c r="AD27" s="29" t="s">
        <v>560</v>
      </c>
      <c r="AE27">
        <f>ThetaJA</f>
        <v>100</v>
      </c>
      <c r="AF27" s="25" t="s">
        <v>561</v>
      </c>
      <c r="AH27" s="29" t="s">
        <v>560</v>
      </c>
      <c r="AI27">
        <f>ThetaJA</f>
        <v>100</v>
      </c>
      <c r="AJ27" s="25" t="s">
        <v>561</v>
      </c>
      <c r="AL27" s="29" t="s">
        <v>560</v>
      </c>
      <c r="AM27">
        <f>ThetaJA</f>
        <v>100</v>
      </c>
      <c r="AN27" s="25" t="s">
        <v>561</v>
      </c>
      <c r="AP27" s="29" t="s">
        <v>560</v>
      </c>
      <c r="AQ27">
        <f>ThetaJA</f>
        <v>100</v>
      </c>
      <c r="AR27" s="25" t="s">
        <v>561</v>
      </c>
      <c r="AT27" s="29" t="s">
        <v>560</v>
      </c>
      <c r="AU27">
        <f>ThetaJA</f>
        <v>100</v>
      </c>
      <c r="AV27" s="25" t="s">
        <v>561</v>
      </c>
      <c r="AX27" s="29" t="s">
        <v>560</v>
      </c>
      <c r="AY27">
        <f>ThetaJA</f>
        <v>100</v>
      </c>
      <c r="AZ27" s="25" t="s">
        <v>561</v>
      </c>
      <c r="BB27" s="29" t="s">
        <v>560</v>
      </c>
      <c r="BC27">
        <f>ThetaJA</f>
        <v>100</v>
      </c>
      <c r="BD27" s="25" t="s">
        <v>561</v>
      </c>
      <c r="BF27" s="29" t="s">
        <v>560</v>
      </c>
      <c r="BG27">
        <f>ThetaJA</f>
        <v>100</v>
      </c>
      <c r="BH27" s="25" t="s">
        <v>561</v>
      </c>
      <c r="BJ27" s="29" t="s">
        <v>560</v>
      </c>
      <c r="BK27">
        <f>ThetaJA</f>
        <v>100</v>
      </c>
      <c r="BL27" s="25" t="s">
        <v>561</v>
      </c>
      <c r="BN27" s="29" t="s">
        <v>560</v>
      </c>
      <c r="BO27">
        <f>ThetaJA</f>
        <v>100</v>
      </c>
      <c r="BP27" s="25" t="s">
        <v>561</v>
      </c>
      <c r="BR27" s="29" t="s">
        <v>560</v>
      </c>
      <c r="BS27">
        <f>ThetaJA</f>
        <v>100</v>
      </c>
      <c r="BT27" s="25" t="s">
        <v>561</v>
      </c>
      <c r="BV27" s="29" t="s">
        <v>560</v>
      </c>
      <c r="BW27">
        <f>ThetaJA</f>
        <v>100</v>
      </c>
      <c r="BX27" s="25" t="s">
        <v>561</v>
      </c>
    </row>
    <row r="28" spans="2:76" ht="13.8" x14ac:dyDescent="0.3">
      <c r="B28" s="29" t="s">
        <v>562</v>
      </c>
      <c r="C28" s="102">
        <f>'Design Calculator'!F25</f>
        <v>80</v>
      </c>
      <c r="D28" s="25" t="s">
        <v>554</v>
      </c>
      <c r="F28" s="29" t="s">
        <v>562</v>
      </c>
      <c r="G28" s="102">
        <f>'Design Calculator'!F25</f>
        <v>80</v>
      </c>
      <c r="H28" s="25" t="s">
        <v>554</v>
      </c>
      <c r="J28" s="29" t="s">
        <v>562</v>
      </c>
      <c r="K28" s="102">
        <f>'Design Calculator'!F25</f>
        <v>80</v>
      </c>
      <c r="L28" s="25" t="s">
        <v>554</v>
      </c>
      <c r="N28" s="29" t="s">
        <v>562</v>
      </c>
      <c r="O28" s="102">
        <f>'Design Calculator'!F25</f>
        <v>80</v>
      </c>
      <c r="P28" s="25" t="s">
        <v>554</v>
      </c>
      <c r="R28" s="29" t="s">
        <v>562</v>
      </c>
      <c r="S28" s="102">
        <f>'Design Calculator'!F25</f>
        <v>80</v>
      </c>
      <c r="T28" s="25" t="s">
        <v>554</v>
      </c>
      <c r="V28" s="29" t="s">
        <v>562</v>
      </c>
      <c r="W28" s="102">
        <f>'Design Calculator'!F25</f>
        <v>80</v>
      </c>
      <c r="X28" s="25" t="s">
        <v>554</v>
      </c>
      <c r="Z28" s="29" t="s">
        <v>562</v>
      </c>
      <c r="AA28" s="102">
        <f>'Design Calculator'!F25</f>
        <v>80</v>
      </c>
      <c r="AB28" s="25" t="s">
        <v>554</v>
      </c>
      <c r="AD28" s="29" t="s">
        <v>562</v>
      </c>
      <c r="AE28" s="102">
        <f>'Design Calculator'!F25</f>
        <v>80</v>
      </c>
      <c r="AF28" s="25" t="s">
        <v>554</v>
      </c>
      <c r="AH28" s="29" t="s">
        <v>562</v>
      </c>
      <c r="AI28" s="102">
        <f>'Design Calculator'!F25</f>
        <v>80</v>
      </c>
      <c r="AJ28" s="25" t="s">
        <v>554</v>
      </c>
      <c r="AL28" s="29" t="s">
        <v>562</v>
      </c>
      <c r="AM28" s="102">
        <f>'Design Calculator'!F25</f>
        <v>80</v>
      </c>
      <c r="AN28" s="25" t="s">
        <v>554</v>
      </c>
      <c r="AP28" s="29" t="s">
        <v>562</v>
      </c>
      <c r="AQ28" s="102">
        <f>'Design Calculator'!F25</f>
        <v>80</v>
      </c>
      <c r="AR28" s="25" t="s">
        <v>554</v>
      </c>
      <c r="AT28" s="29" t="s">
        <v>562</v>
      </c>
      <c r="AU28" s="102">
        <f>'Design Calculator'!F25</f>
        <v>80</v>
      </c>
      <c r="AV28" s="25" t="s">
        <v>554</v>
      </c>
      <c r="AX28" s="29" t="s">
        <v>562</v>
      </c>
      <c r="AY28" s="102">
        <f>'Design Calculator'!F25</f>
        <v>80</v>
      </c>
      <c r="AZ28" s="25" t="s">
        <v>554</v>
      </c>
      <c r="BB28" s="29" t="s">
        <v>562</v>
      </c>
      <c r="BC28" s="102">
        <f>'Design Calculator'!F25</f>
        <v>80</v>
      </c>
      <c r="BD28" s="25" t="s">
        <v>554</v>
      </c>
      <c r="BF28" s="29" t="s">
        <v>562</v>
      </c>
      <c r="BG28" s="102">
        <f>'Design Calculator'!F25</f>
        <v>80</v>
      </c>
      <c r="BH28" s="25" t="s">
        <v>554</v>
      </c>
      <c r="BJ28" s="29" t="s">
        <v>562</v>
      </c>
      <c r="BK28" s="102">
        <f>'Design Calculator'!F25</f>
        <v>80</v>
      </c>
      <c r="BL28" s="25" t="s">
        <v>554</v>
      </c>
      <c r="BN28" s="29" t="s">
        <v>562</v>
      </c>
      <c r="BO28" s="102">
        <f>'Design Calculator'!F25</f>
        <v>80</v>
      </c>
      <c r="BP28" s="25" t="s">
        <v>554</v>
      </c>
      <c r="BR28" s="29" t="s">
        <v>562</v>
      </c>
      <c r="BS28" s="102">
        <f>'Design Calculator'!F25</f>
        <v>80</v>
      </c>
      <c r="BT28" s="25" t="s">
        <v>554</v>
      </c>
      <c r="BV28" s="29" t="s">
        <v>562</v>
      </c>
      <c r="BW28" s="102">
        <f>'Design Calculator'!F25</f>
        <v>80</v>
      </c>
      <c r="BX28" s="25" t="s">
        <v>554</v>
      </c>
    </row>
    <row r="29" spans="2:76" x14ac:dyDescent="0.25">
      <c r="G29">
        <f>LOOKUP(G28,F11:F23,G11:G23)</f>
        <v>1.28</v>
      </c>
      <c r="K29">
        <f>LOOKUP(K28,J11:J23,K11:K23)</f>
        <v>1.29</v>
      </c>
      <c r="O29">
        <f>LOOKUP(O28,N11:N23,O11:O23)</f>
        <v>1.29</v>
      </c>
      <c r="S29">
        <f>LOOKUP(S28,R11:R23,S11:S23)</f>
        <v>1.32</v>
      </c>
      <c r="W29">
        <f>LOOKUP(W28,V11:V23,W11:W23)</f>
        <v>1.32</v>
      </c>
      <c r="AA29">
        <f>LOOKUP(AA28,Z11:Z23,AA11:AA23)</f>
        <v>1.41</v>
      </c>
      <c r="AE29">
        <f>LOOKUP(AE28,AD11:AD23,AE11:AE23)</f>
        <v>1.39</v>
      </c>
      <c r="AI29">
        <f>LOOKUP(AI28,AH11:AH23,AI11:AI23)</f>
        <v>1.33</v>
      </c>
      <c r="AM29">
        <f>LOOKUP(AM28,AL11:AL23,AM11:AM23)</f>
        <v>1.35</v>
      </c>
      <c r="AQ29">
        <f>LOOKUP(AQ28,AP11:AP23,AQ11:AQ23)</f>
        <v>1.34</v>
      </c>
      <c r="AU29">
        <f>LOOKUP(AU28,AT11:AT23,AU11:AU23)</f>
        <v>1.36</v>
      </c>
      <c r="AY29">
        <f>LOOKUP(AY28,AX11:AX23,AY11:AY23)</f>
        <v>1.36</v>
      </c>
      <c r="BC29">
        <f>LOOKUP(BC28,BB11:BB23,BC11:BC23)</f>
        <v>1.33</v>
      </c>
      <c r="BG29">
        <f>LOOKUP(BG28,BF11:BF23,BG11:BG23)</f>
        <v>1.39</v>
      </c>
      <c r="BK29">
        <f>LOOKUP(BK28,BJ11:BJ23,BK11:BK23)</f>
        <v>1.41</v>
      </c>
      <c r="BO29">
        <f>LOOKUP(BO28,BN11:BN23,BO11:BO23)</f>
        <v>1.36</v>
      </c>
      <c r="BS29">
        <f>LOOKUP(BS28,BR11:BR23,BS11:BS23)</f>
        <v>1.33</v>
      </c>
      <c r="BW29">
        <f>LOOKUP(BW28,BV11:BV23,BW11:BW23)</f>
        <v>1.41</v>
      </c>
    </row>
    <row r="30" spans="2:76" x14ac:dyDescent="0.25">
      <c r="B30" t="s">
        <v>563</v>
      </c>
      <c r="C30" s="26" t="s">
        <v>564</v>
      </c>
      <c r="F30" t="s">
        <v>563</v>
      </c>
      <c r="G30" s="240" t="s">
        <v>565</v>
      </c>
      <c r="J30" t="s">
        <v>563</v>
      </c>
      <c r="K30" s="240" t="s">
        <v>566</v>
      </c>
      <c r="N30" t="s">
        <v>563</v>
      </c>
      <c r="O30" s="240" t="s">
        <v>567</v>
      </c>
      <c r="R30" t="s">
        <v>563</v>
      </c>
      <c r="S30" s="240" t="s">
        <v>568</v>
      </c>
      <c r="V30" t="s">
        <v>563</v>
      </c>
      <c r="W30" s="240" t="s">
        <v>569</v>
      </c>
      <c r="Z30" t="s">
        <v>563</v>
      </c>
      <c r="AA30" s="240" t="s">
        <v>570</v>
      </c>
      <c r="AD30" t="s">
        <v>563</v>
      </c>
      <c r="AE30" s="240" t="s">
        <v>571</v>
      </c>
      <c r="AH30" t="s">
        <v>563</v>
      </c>
      <c r="AI30" s="240" t="s">
        <v>572</v>
      </c>
      <c r="AL30" t="s">
        <v>563</v>
      </c>
      <c r="AM30" s="240" t="s">
        <v>573</v>
      </c>
      <c r="AP30" t="s">
        <v>563</v>
      </c>
      <c r="AQ30" s="240" t="s">
        <v>574</v>
      </c>
      <c r="AT30" t="s">
        <v>563</v>
      </c>
      <c r="AU30" s="240" t="s">
        <v>575</v>
      </c>
      <c r="AX30" t="s">
        <v>563</v>
      </c>
      <c r="AY30" s="240" t="s">
        <v>576</v>
      </c>
      <c r="BB30" t="s">
        <v>563</v>
      </c>
      <c r="BC30" s="240" t="s">
        <v>577</v>
      </c>
      <c r="BF30" t="s">
        <v>563</v>
      </c>
      <c r="BG30" s="240" t="s">
        <v>578</v>
      </c>
      <c r="BJ30" t="s">
        <v>563</v>
      </c>
      <c r="BK30" s="240" t="s">
        <v>579</v>
      </c>
      <c r="BN30" t="s">
        <v>563</v>
      </c>
      <c r="BO30" s="240" t="s">
        <v>580</v>
      </c>
      <c r="BR30" t="s">
        <v>563</v>
      </c>
      <c r="BS30" s="240" t="s">
        <v>581</v>
      </c>
      <c r="BV30" t="s">
        <v>563</v>
      </c>
      <c r="BW30" s="240" t="s">
        <v>582</v>
      </c>
    </row>
    <row r="31" spans="2:76" x14ac:dyDescent="0.25">
      <c r="B31" s="25" t="s">
        <v>593</v>
      </c>
      <c r="C31">
        <f>SQRT((C25*C25*C7*C27)/(1000*(C28-C26)))</f>
        <v>4.0824829046386304</v>
      </c>
      <c r="F31" s="25" t="s">
        <v>593</v>
      </c>
      <c r="G31">
        <f>SQRT((G25*G25*G29*G7*G27)/(1000*(G28-G26)))</f>
        <v>4.1311822359545776</v>
      </c>
      <c r="J31" s="25" t="s">
        <v>593</v>
      </c>
      <c r="K31">
        <f>SQRT((K25*K25*K29*K7*K27)/(1000*(K28-K26)))</f>
        <v>4.636809247747852</v>
      </c>
      <c r="N31" s="25" t="s">
        <v>593</v>
      </c>
      <c r="O31">
        <f>SQRT((O25*O25*O29*O7*O27)/(1000*(O28-O26)))</f>
        <v>4.863126566315132</v>
      </c>
      <c r="R31" s="25" t="s">
        <v>593</v>
      </c>
      <c r="S31">
        <f>SQRT((S25*S25*S29*S7*S27)/(1000*(S28-S26)))</f>
        <v>5.0299105359837162</v>
      </c>
      <c r="V31" s="25" t="s">
        <v>593</v>
      </c>
      <c r="W31">
        <f>SQRT((W25*W25*W29*W7*W27)/(1000*(W28-W26)))</f>
        <v>5.8395205282625735</v>
      </c>
      <c r="Z31" s="25" t="s">
        <v>593</v>
      </c>
      <c r="AA31">
        <f>SQRT((AA25*AA25*AA29*AA7*AA27)/(1000*(AA28-AA26)))</f>
        <v>6.1318838867023571</v>
      </c>
      <c r="AD31" s="25" t="s">
        <v>593</v>
      </c>
      <c r="AE31">
        <f>SQRT((AE25*AE25*AE29*AE7*AE27)/(1000*(AE28-AE26)))</f>
        <v>6.2756141797702423</v>
      </c>
      <c r="AH31" s="25" t="s">
        <v>593</v>
      </c>
      <c r="AI31">
        <f>SQRT((AI25*AI25*AI29*AI7*AI27)/(1000*(AI28-AI26)))</f>
        <v>6.6583281184793934</v>
      </c>
      <c r="AL31" s="25" t="s">
        <v>593</v>
      </c>
      <c r="AM31">
        <f>SQRT((AM25*AM25*AM29*AM7*AM27)/(1000*(AM28-AM26)))</f>
        <v>6.7915388536030621</v>
      </c>
      <c r="AP31" s="25" t="s">
        <v>593</v>
      </c>
      <c r="AQ31">
        <f>SQRT((AQ25*AQ25*AQ29*AQ7*AQ27)/(1000*(AQ28-AQ26)))</f>
        <v>6.8483574673055729</v>
      </c>
      <c r="AT31" s="25" t="s">
        <v>593</v>
      </c>
      <c r="AU31">
        <f>SQRT((AU25*AU25*AU29*AU7*AU27)/(1000*(AU28-AU26)))</f>
        <v>7.2203416354998975</v>
      </c>
      <c r="AX31" s="25" t="s">
        <v>593</v>
      </c>
      <c r="AY31">
        <f>SQRT((AY25*AY25*AY29*AY7*AY27)/(1000*(AY28-AY26)))</f>
        <v>8.177204086157241</v>
      </c>
      <c r="BB31" s="25" t="s">
        <v>593</v>
      </c>
      <c r="BC31">
        <f>SQRT((BC25*BC25*BC29*BC7*BC27)/(1000*(BC28-BC26)))</f>
        <v>8.5527773266933593</v>
      </c>
      <c r="BF31" s="25" t="s">
        <v>593</v>
      </c>
      <c r="BG31">
        <f>SQRT((BG25*BG25*BG29*BG7*BG27)/(1000*(BG28-BG26)))</f>
        <v>8.8750586852519824</v>
      </c>
      <c r="BJ31" s="25" t="s">
        <v>593</v>
      </c>
      <c r="BK31">
        <f>SQRT((BK25*BK25*BK29*BK7*BK27)/(1000*(BK28-BK26)))</f>
        <v>10.397114984456024</v>
      </c>
      <c r="BN31" s="25" t="s">
        <v>593</v>
      </c>
      <c r="BO31">
        <f>SQRT((BO25*BO25*BO29*BO7*BO27)/(1000*(BO28-BO26)))</f>
        <v>10.538817137927134</v>
      </c>
      <c r="BR31" s="25" t="s">
        <v>593</v>
      </c>
      <c r="BS31">
        <f>SQRT((BS25*BS25*BS29*BS7*BS27)/(1000*(BS28-BS26)))</f>
        <v>10.474970167021956</v>
      </c>
      <c r="BV31" s="25" t="s">
        <v>593</v>
      </c>
      <c r="BW31">
        <f>SQRT((BW25*BW25*BW29*BW7*BW27)/(1000*(BW28-BW26)))</f>
        <v>12.359207094308275</v>
      </c>
    </row>
    <row r="32" spans="2:76" x14ac:dyDescent="0.25">
      <c r="B32" s="25" t="s">
        <v>594</v>
      </c>
      <c r="C32">
        <f>CEILING(C31,1)</f>
        <v>5</v>
      </c>
      <c r="F32" s="25" t="s">
        <v>594</v>
      </c>
      <c r="G32">
        <f>CEILING(G31,1)</f>
        <v>5</v>
      </c>
      <c r="J32" s="25" t="s">
        <v>594</v>
      </c>
      <c r="K32">
        <f>CEILING(K31,1)</f>
        <v>5</v>
      </c>
      <c r="N32" s="25" t="s">
        <v>594</v>
      </c>
      <c r="O32">
        <f>CEILING(O31,1)</f>
        <v>5</v>
      </c>
      <c r="R32" s="25" t="s">
        <v>594</v>
      </c>
      <c r="S32">
        <f>CEILING(S31,1)</f>
        <v>6</v>
      </c>
      <c r="V32" s="25" t="s">
        <v>594</v>
      </c>
      <c r="W32">
        <f>CEILING(W31,1)</f>
        <v>6</v>
      </c>
      <c r="Z32" s="25" t="s">
        <v>594</v>
      </c>
      <c r="AA32">
        <f>CEILING(AA31,1)</f>
        <v>7</v>
      </c>
      <c r="AD32" s="25" t="s">
        <v>594</v>
      </c>
      <c r="AE32">
        <f>CEILING(AE31,1)</f>
        <v>7</v>
      </c>
      <c r="AH32" s="25" t="s">
        <v>594</v>
      </c>
      <c r="AI32">
        <f>CEILING(AI31,1)</f>
        <v>7</v>
      </c>
      <c r="AL32" s="25" t="s">
        <v>594</v>
      </c>
      <c r="AM32">
        <f>CEILING(AM31,1)</f>
        <v>7</v>
      </c>
      <c r="AP32" s="25" t="s">
        <v>594</v>
      </c>
      <c r="AQ32">
        <f>CEILING(AQ31,1)</f>
        <v>7</v>
      </c>
      <c r="AT32" s="25" t="s">
        <v>594</v>
      </c>
      <c r="AU32">
        <f>CEILING(AU31,1)</f>
        <v>8</v>
      </c>
      <c r="AX32" s="25" t="s">
        <v>594</v>
      </c>
      <c r="AY32">
        <f>CEILING(AY31,1)</f>
        <v>9</v>
      </c>
      <c r="BB32" s="25" t="s">
        <v>594</v>
      </c>
      <c r="BC32">
        <f>CEILING(BC31,1)</f>
        <v>9</v>
      </c>
      <c r="BF32" s="25" t="s">
        <v>594</v>
      </c>
      <c r="BG32">
        <f>CEILING(BG31,1)</f>
        <v>9</v>
      </c>
      <c r="BJ32" s="25" t="s">
        <v>594</v>
      </c>
      <c r="BK32">
        <f>CEILING(BK31,1)</f>
        <v>11</v>
      </c>
      <c r="BN32" s="25" t="s">
        <v>594</v>
      </c>
      <c r="BO32">
        <f>CEILING(BO31,1)</f>
        <v>11</v>
      </c>
      <c r="BR32" s="25" t="s">
        <v>594</v>
      </c>
      <c r="BS32">
        <f>CEILING(BS31,1)</f>
        <v>11</v>
      </c>
      <c r="BV32" s="25" t="s">
        <v>594</v>
      </c>
      <c r="BW32">
        <f>CEILING(BW31,1)</f>
        <v>13</v>
      </c>
    </row>
    <row r="33" spans="2:76" x14ac:dyDescent="0.25">
      <c r="B33" s="25" t="s">
        <v>595</v>
      </c>
      <c r="C33">
        <f>C25*C25*C7/(1000*C32*C32)</f>
        <v>0.2</v>
      </c>
      <c r="D33" s="25" t="s">
        <v>87</v>
      </c>
      <c r="F33" s="25" t="s">
        <v>595</v>
      </c>
      <c r="G33">
        <f>G25*G25*G29*G7/(1000*G32*G32)</f>
        <v>0.20480000000000001</v>
      </c>
      <c r="H33" s="25" t="s">
        <v>87</v>
      </c>
      <c r="J33" s="25" t="s">
        <v>595</v>
      </c>
      <c r="K33">
        <f>K25*K25*K29*K7/(1000*K32*K32)</f>
        <v>0.25800000000000001</v>
      </c>
      <c r="L33" s="25" t="s">
        <v>87</v>
      </c>
      <c r="N33" s="25" t="s">
        <v>595</v>
      </c>
      <c r="O33">
        <f>O25*O25*O29*O7/(1000*O32*O32)</f>
        <v>0.28380000000000005</v>
      </c>
      <c r="P33" s="25" t="s">
        <v>87</v>
      </c>
      <c r="R33" s="25" t="s">
        <v>595</v>
      </c>
      <c r="S33">
        <f>S25*S25*S29*S7/(1000*S32*S32)</f>
        <v>0.21083333333333332</v>
      </c>
      <c r="T33" s="25" t="s">
        <v>87</v>
      </c>
      <c r="V33" s="25" t="s">
        <v>595</v>
      </c>
      <c r="W33">
        <f>W25*W25*W29*W7/(1000*W32*W32)</f>
        <v>0.28416666666666668</v>
      </c>
      <c r="X33" s="25" t="s">
        <v>87</v>
      </c>
      <c r="Z33" s="25" t="s">
        <v>595</v>
      </c>
      <c r="AA33">
        <f>AA25*AA25*AA29*AA7/(1000*AA32*AA32)</f>
        <v>0.23020408163265307</v>
      </c>
      <c r="AB33" s="25" t="s">
        <v>87</v>
      </c>
      <c r="AD33" s="25" t="s">
        <v>595</v>
      </c>
      <c r="AE33">
        <f>AE25*AE25*AE29*AE7/(1000*AE32*AE32)</f>
        <v>0.24112244897959179</v>
      </c>
      <c r="AF33" s="25" t="s">
        <v>87</v>
      </c>
      <c r="AH33" s="25" t="s">
        <v>595</v>
      </c>
      <c r="AI33">
        <f>AI25*AI25*AI29*AI7/(1000*AI32*AI32)</f>
        <v>0.27142857142857141</v>
      </c>
      <c r="AJ33" s="25" t="s">
        <v>87</v>
      </c>
      <c r="AL33" s="25" t="s">
        <v>595</v>
      </c>
      <c r="AM33">
        <f>AM25*AM25*AM29*AM7/(1000*AM32*AM32)</f>
        <v>0.28239795918367344</v>
      </c>
      <c r="AN33" s="25" t="s">
        <v>87</v>
      </c>
      <c r="AP33" s="25" t="s">
        <v>595</v>
      </c>
      <c r="AQ33">
        <f>AQ25*AQ25*AQ29*AQ7/(1000*AQ32*AQ32)</f>
        <v>0.28714285714285714</v>
      </c>
      <c r="AR33" s="25" t="s">
        <v>87</v>
      </c>
      <c r="AT33" s="25" t="s">
        <v>595</v>
      </c>
      <c r="AU33">
        <f>AU25*AU25*AU29*AU7/(1000*AU32*AU32)</f>
        <v>0.24437500000000001</v>
      </c>
      <c r="AV33" s="25" t="s">
        <v>87</v>
      </c>
      <c r="AX33" s="25" t="s">
        <v>595</v>
      </c>
      <c r="AY33">
        <f>AY25*AY25*AY29*AY7/(1000*AY32*AY32)</f>
        <v>0.24765432098765436</v>
      </c>
      <c r="AZ33" s="25" t="s">
        <v>87</v>
      </c>
      <c r="BB33" s="25" t="s">
        <v>595</v>
      </c>
      <c r="BC33">
        <f>BC25*BC25*BC29*BC7/(1000*BC32*BC32)</f>
        <v>0.2709259259259259</v>
      </c>
      <c r="BD33" s="25" t="s">
        <v>87</v>
      </c>
      <c r="BF33" s="25" t="s">
        <v>595</v>
      </c>
      <c r="BG33">
        <f>BG25*BG25*BG29*BG7/(1000*BG32*BG32)</f>
        <v>0.29172839506172837</v>
      </c>
      <c r="BH33" s="25" t="s">
        <v>87</v>
      </c>
      <c r="BJ33" s="25" t="s">
        <v>595</v>
      </c>
      <c r="BK33">
        <f>BK25*BK25*BK29*BK7/(1000*BK32*BK32)</f>
        <v>0.26801652892561978</v>
      </c>
      <c r="BL33" s="25" t="s">
        <v>87</v>
      </c>
      <c r="BN33" s="25" t="s">
        <v>595</v>
      </c>
      <c r="BO33">
        <f>BO25*BO25*BO29*BO7/(1000*BO32*BO32)</f>
        <v>0.27537190082644636</v>
      </c>
      <c r="BP33" s="25" t="s">
        <v>87</v>
      </c>
      <c r="BR33" s="25" t="s">
        <v>595</v>
      </c>
      <c r="BS33">
        <f>BS25*BS25*BS29*BS7/(1000*BS32*BS32)</f>
        <v>0.27204545454545453</v>
      </c>
      <c r="BT33" s="25" t="s">
        <v>87</v>
      </c>
      <c r="BV33" s="25" t="s">
        <v>595</v>
      </c>
      <c r="BW33">
        <f>BW25*BW25*BW29*BW7/(1000*BW32*BW32)</f>
        <v>0.27115384615384613</v>
      </c>
      <c r="BX33" s="25" t="s">
        <v>87</v>
      </c>
    </row>
    <row r="34" spans="2:76" ht="13.8" x14ac:dyDescent="0.3">
      <c r="B34" s="25" t="s">
        <v>596</v>
      </c>
      <c r="C34">
        <f>C26+C33*C27</f>
        <v>70</v>
      </c>
      <c r="D34" s="25" t="s">
        <v>554</v>
      </c>
      <c r="F34" s="25" t="s">
        <v>596</v>
      </c>
      <c r="G34">
        <f>G26+G33*G27</f>
        <v>70.48</v>
      </c>
      <c r="H34" s="25" t="s">
        <v>554</v>
      </c>
      <c r="J34" s="25" t="s">
        <v>596</v>
      </c>
      <c r="K34">
        <f>K26+K33*K27</f>
        <v>75.8</v>
      </c>
      <c r="L34" s="25" t="s">
        <v>554</v>
      </c>
      <c r="N34" s="25" t="s">
        <v>596</v>
      </c>
      <c r="O34">
        <f>O26+O33*O27</f>
        <v>78.38000000000001</v>
      </c>
      <c r="P34" s="25" t="s">
        <v>554</v>
      </c>
      <c r="R34" s="25" t="s">
        <v>596</v>
      </c>
      <c r="S34">
        <f>S26+S33*S27</f>
        <v>71.083333333333329</v>
      </c>
      <c r="T34" s="25" t="s">
        <v>554</v>
      </c>
      <c r="V34" s="25" t="s">
        <v>596</v>
      </c>
      <c r="W34">
        <f>W26+W33*W27</f>
        <v>78.416666666666671</v>
      </c>
      <c r="X34" s="25" t="s">
        <v>554</v>
      </c>
      <c r="Z34" s="25" t="s">
        <v>596</v>
      </c>
      <c r="AA34">
        <f>AA26+AA33*AA27</f>
        <v>73.020408163265301</v>
      </c>
      <c r="AB34" s="25" t="s">
        <v>554</v>
      </c>
      <c r="AD34" s="25" t="s">
        <v>596</v>
      </c>
      <c r="AE34">
        <f>AE26+AE33*AE27</f>
        <v>74.112244897959187</v>
      </c>
      <c r="AF34" s="25" t="s">
        <v>554</v>
      </c>
      <c r="AH34" s="25" t="s">
        <v>596</v>
      </c>
      <c r="AI34">
        <f>AI26+AI33*AI27</f>
        <v>77.142857142857139</v>
      </c>
      <c r="AJ34" s="25" t="s">
        <v>554</v>
      </c>
      <c r="AL34" s="25" t="s">
        <v>596</v>
      </c>
      <c r="AM34">
        <f>AM26+AM33*AM27</f>
        <v>78.239795918367349</v>
      </c>
      <c r="AN34" s="25" t="s">
        <v>554</v>
      </c>
      <c r="AP34" s="25" t="s">
        <v>596</v>
      </c>
      <c r="AQ34">
        <f>AQ26+AQ33*AQ27</f>
        <v>78.714285714285722</v>
      </c>
      <c r="AR34" s="25" t="s">
        <v>554</v>
      </c>
      <c r="AT34" s="25" t="s">
        <v>596</v>
      </c>
      <c r="AU34">
        <f>AU26+AU33*AU27</f>
        <v>74.4375</v>
      </c>
      <c r="AV34" s="25" t="s">
        <v>554</v>
      </c>
      <c r="AX34" s="25" t="s">
        <v>596</v>
      </c>
      <c r="AY34">
        <f>AY26+AY33*AY27</f>
        <v>74.765432098765444</v>
      </c>
      <c r="AZ34" s="25" t="s">
        <v>554</v>
      </c>
      <c r="BB34" s="25" t="s">
        <v>596</v>
      </c>
      <c r="BC34">
        <f>BC26+BC33*BC27</f>
        <v>77.092592592592595</v>
      </c>
      <c r="BD34" s="25" t="s">
        <v>554</v>
      </c>
      <c r="BF34" s="25" t="s">
        <v>596</v>
      </c>
      <c r="BG34">
        <f>BG26+BG33*BG27</f>
        <v>79.172839506172835</v>
      </c>
      <c r="BH34" s="25" t="s">
        <v>554</v>
      </c>
      <c r="BJ34" s="25" t="s">
        <v>596</v>
      </c>
      <c r="BK34">
        <f>BK26+BK33*BK27</f>
        <v>76.801652892561975</v>
      </c>
      <c r="BL34" s="25" t="s">
        <v>554</v>
      </c>
      <c r="BN34" s="25" t="s">
        <v>596</v>
      </c>
      <c r="BO34">
        <f>BO26+BO33*BO27</f>
        <v>77.537190082644628</v>
      </c>
      <c r="BP34" s="25" t="s">
        <v>554</v>
      </c>
      <c r="BR34" s="25" t="s">
        <v>596</v>
      </c>
      <c r="BS34">
        <f>BS26+BS33*BS27</f>
        <v>77.204545454545453</v>
      </c>
      <c r="BT34" s="25" t="s">
        <v>554</v>
      </c>
      <c r="BV34" s="25" t="s">
        <v>596</v>
      </c>
      <c r="BW34">
        <f>BW26+BW33*BW27</f>
        <v>77.115384615384613</v>
      </c>
      <c r="BX34" s="25" t="s">
        <v>554</v>
      </c>
    </row>
    <row r="35" spans="2:76" x14ac:dyDescent="0.25">
      <c r="B35" s="25" t="s">
        <v>597</v>
      </c>
      <c r="C35" s="26" t="s">
        <v>598</v>
      </c>
      <c r="F35" s="25" t="s">
        <v>597</v>
      </c>
      <c r="G35">
        <v>1.8939999999999999</v>
      </c>
      <c r="J35" s="25" t="s">
        <v>597</v>
      </c>
      <c r="K35">
        <v>1.266</v>
      </c>
      <c r="N35" s="25" t="s">
        <v>597</v>
      </c>
      <c r="O35">
        <v>0.86699999999999999</v>
      </c>
      <c r="R35" s="25" t="s">
        <v>597</v>
      </c>
      <c r="S35">
        <v>1.8779999999999999</v>
      </c>
      <c r="V35" s="25" t="s">
        <v>597</v>
      </c>
      <c r="W35">
        <v>1.3129999999999999</v>
      </c>
      <c r="Z35" s="25" t="s">
        <v>597</v>
      </c>
      <c r="AA35">
        <v>0.84499999999999997</v>
      </c>
      <c r="AD35" s="25" t="s">
        <v>597</v>
      </c>
      <c r="AE35">
        <v>0.84499999999999997</v>
      </c>
      <c r="AH35" s="25" t="s">
        <v>597</v>
      </c>
      <c r="AI35">
        <v>0.86099999999999999</v>
      </c>
      <c r="AL35" s="25" t="s">
        <v>597</v>
      </c>
      <c r="AM35">
        <v>0.89600000000000002</v>
      </c>
      <c r="AP35" s="25" t="s">
        <v>597</v>
      </c>
      <c r="AQ35">
        <v>0.81799999999999995</v>
      </c>
      <c r="AT35" s="25" t="s">
        <v>597</v>
      </c>
      <c r="AU35">
        <v>0.58899999999999997</v>
      </c>
      <c r="AX35" s="25" t="s">
        <v>597</v>
      </c>
      <c r="AY35">
        <v>0.46400000000000002</v>
      </c>
      <c r="BB35" s="25" t="s">
        <v>597</v>
      </c>
      <c r="BC35">
        <v>0.71899999999999997</v>
      </c>
      <c r="BF35" s="25" t="s">
        <v>597</v>
      </c>
      <c r="BG35">
        <v>0.47699999999999998</v>
      </c>
      <c r="BJ35" s="25" t="s">
        <v>597</v>
      </c>
      <c r="BK35">
        <v>0.58699999999999997</v>
      </c>
      <c r="BN35" s="25" t="s">
        <v>597</v>
      </c>
      <c r="BO35">
        <v>0.32600000000000001</v>
      </c>
      <c r="BR35" s="25" t="s">
        <v>597</v>
      </c>
      <c r="BS35">
        <v>0.25800000000000001</v>
      </c>
      <c r="BV35" s="25" t="s">
        <v>597</v>
      </c>
      <c r="BW35">
        <v>0.27300000000000002</v>
      </c>
    </row>
    <row r="37" spans="2:76" ht="17.399999999999999" x14ac:dyDescent="0.3">
      <c r="B37" s="241" t="s">
        <v>81</v>
      </c>
    </row>
    <row r="38" spans="2:76" x14ac:dyDescent="0.25">
      <c r="B38" s="25" t="s">
        <v>599</v>
      </c>
      <c r="F38" s="25" t="s">
        <v>599</v>
      </c>
      <c r="J38" s="25" t="s">
        <v>599</v>
      </c>
      <c r="N38" s="25" t="s">
        <v>599</v>
      </c>
      <c r="R38" s="25" t="s">
        <v>599</v>
      </c>
      <c r="V38" s="25" t="s">
        <v>599</v>
      </c>
      <c r="Z38" s="25" t="s">
        <v>599</v>
      </c>
      <c r="AD38" s="25" t="s">
        <v>599</v>
      </c>
      <c r="AH38" s="25" t="s">
        <v>599</v>
      </c>
      <c r="AL38" s="25" t="s">
        <v>599</v>
      </c>
      <c r="AP38" s="25" t="s">
        <v>599</v>
      </c>
      <c r="AT38" s="25" t="s">
        <v>599</v>
      </c>
      <c r="AX38" s="25" t="s">
        <v>599</v>
      </c>
      <c r="BB38" s="25" t="s">
        <v>599</v>
      </c>
      <c r="BF38" s="25" t="s">
        <v>599</v>
      </c>
      <c r="BJ38" s="25" t="s">
        <v>599</v>
      </c>
      <c r="BN38" s="25" t="s">
        <v>599</v>
      </c>
      <c r="BR38" s="25" t="s">
        <v>599</v>
      </c>
      <c r="BV38" s="25" t="s">
        <v>599</v>
      </c>
    </row>
    <row r="39" spans="2:76" x14ac:dyDescent="0.25">
      <c r="B39" s="25">
        <v>0.01</v>
      </c>
      <c r="C39" s="3">
        <f>'Design Calculator'!H57</f>
        <v>400</v>
      </c>
      <c r="D39" s="25" t="s">
        <v>25</v>
      </c>
      <c r="F39" s="25">
        <v>0.01</v>
      </c>
      <c r="G39" s="3">
        <v>400</v>
      </c>
      <c r="H39" s="25" t="s">
        <v>25</v>
      </c>
      <c r="J39" s="25">
        <v>0.01</v>
      </c>
      <c r="K39" s="181">
        <v>400</v>
      </c>
      <c r="L39" s="25" t="s">
        <v>25</v>
      </c>
      <c r="N39" s="25">
        <v>0.01</v>
      </c>
      <c r="O39" s="181">
        <v>400</v>
      </c>
      <c r="P39" s="25" t="s">
        <v>25</v>
      </c>
      <c r="R39" s="25">
        <v>0.01</v>
      </c>
      <c r="S39" s="181">
        <v>400</v>
      </c>
      <c r="T39" s="25" t="s">
        <v>25</v>
      </c>
      <c r="V39" s="25">
        <v>0.01</v>
      </c>
      <c r="W39" s="181">
        <v>400</v>
      </c>
      <c r="X39" s="25" t="s">
        <v>25</v>
      </c>
      <c r="Z39" s="25">
        <v>0.01</v>
      </c>
      <c r="AA39" s="181">
        <f>36326*VINMAX^-1.677</f>
        <v>29.240726959619277</v>
      </c>
      <c r="AB39" s="25" t="s">
        <v>25</v>
      </c>
      <c r="AD39" s="25">
        <v>0.01</v>
      </c>
      <c r="AE39" s="181">
        <v>400</v>
      </c>
      <c r="AF39" s="25" t="s">
        <v>25</v>
      </c>
      <c r="AH39" s="25">
        <v>0.01</v>
      </c>
      <c r="AI39" s="181">
        <v>400</v>
      </c>
      <c r="AJ39" s="25" t="s">
        <v>25</v>
      </c>
      <c r="AL39" s="25">
        <v>0.01</v>
      </c>
      <c r="AM39" s="181">
        <f>30220*VINMAX^-1.615</f>
        <v>31.65637087861025</v>
      </c>
      <c r="AN39" s="25" t="s">
        <v>25</v>
      </c>
      <c r="AP39" s="25">
        <v>0.01</v>
      </c>
      <c r="AQ39" s="181">
        <v>400</v>
      </c>
      <c r="AR39" s="25" t="s">
        <v>25</v>
      </c>
      <c r="AT39" s="25">
        <v>0.01</v>
      </c>
      <c r="AU39" s="181">
        <f>20185*VINMAX^-1.526</f>
        <v>30.860939608252007</v>
      </c>
      <c r="AV39" s="25" t="s">
        <v>25</v>
      </c>
      <c r="AX39" s="25">
        <v>0.01</v>
      </c>
      <c r="AY39" s="181">
        <f>19093*VINMAX^-1.564</f>
        <v>24.839384946436098</v>
      </c>
      <c r="AZ39" s="25" t="s">
        <v>25</v>
      </c>
      <c r="BB39" s="25">
        <v>0.01</v>
      </c>
      <c r="BC39" s="181">
        <f>26533.896*VINMAX^-1.640895</f>
        <v>24.899399551120847</v>
      </c>
      <c r="BD39" s="25" t="s">
        <v>25</v>
      </c>
      <c r="BF39" s="25">
        <v>0.01</v>
      </c>
      <c r="BG39" s="181">
        <f>2759.3*VINMAX^-1</f>
        <v>39.418571428571433</v>
      </c>
      <c r="BH39" s="25" t="s">
        <v>25</v>
      </c>
      <c r="BJ39" s="25">
        <v>0.01</v>
      </c>
      <c r="BK39" s="181">
        <f>3718*VINMAX^-1</f>
        <v>53.114285714285714</v>
      </c>
      <c r="BL39" s="25" t="s">
        <v>25</v>
      </c>
      <c r="BN39" s="25">
        <v>0.01</v>
      </c>
      <c r="BO39" s="181">
        <f>5949.5*VINMAX^-1</f>
        <v>84.992857142857133</v>
      </c>
      <c r="BP39" s="25" t="s">
        <v>25</v>
      </c>
      <c r="BR39" s="25">
        <v>0.01</v>
      </c>
      <c r="BS39" s="181">
        <v>156</v>
      </c>
      <c r="BT39" s="25" t="s">
        <v>25</v>
      </c>
      <c r="BV39" s="25">
        <v>0.01</v>
      </c>
      <c r="BW39" s="181">
        <f>6156.5*VINMAX^-1.437</f>
        <v>13.738141977692466</v>
      </c>
      <c r="BX39" s="25" t="s">
        <v>25</v>
      </c>
    </row>
    <row r="40" spans="2:76" x14ac:dyDescent="0.25">
      <c r="B40" s="25">
        <v>0.1</v>
      </c>
      <c r="C40" s="3">
        <f>'Design Calculator'!H58</f>
        <v>100</v>
      </c>
      <c r="D40" s="25" t="s">
        <v>25</v>
      </c>
      <c r="F40" s="25">
        <v>0.1</v>
      </c>
      <c r="G40" s="3">
        <f>7200*VINMAX^-1</f>
        <v>102.85714285714285</v>
      </c>
      <c r="H40" s="25" t="s">
        <v>25</v>
      </c>
      <c r="J40" s="25">
        <v>0.1</v>
      </c>
      <c r="K40" s="181">
        <f>7200*VINMAX^-1</f>
        <v>102.85714285714285</v>
      </c>
      <c r="L40" s="25" t="s">
        <v>25</v>
      </c>
      <c r="N40" s="25">
        <v>0.1</v>
      </c>
      <c r="O40" s="181">
        <f>210787.85*VINMAX^-2.205</f>
        <v>18.005467246568873</v>
      </c>
      <c r="P40" s="25" t="s">
        <v>25</v>
      </c>
      <c r="R40" s="25">
        <v>0.1</v>
      </c>
      <c r="S40" s="181">
        <f>9600*VINMAX^-1</f>
        <v>137.14285714285714</v>
      </c>
      <c r="T40" s="25" t="s">
        <v>25</v>
      </c>
      <c r="V40" s="25">
        <v>0.1</v>
      </c>
      <c r="W40" s="181">
        <f>6024*VINMAX^-1</f>
        <v>86.05714285714285</v>
      </c>
      <c r="X40" s="25" t="s">
        <v>25</v>
      </c>
      <c r="Z40" s="25">
        <v>0.1</v>
      </c>
      <c r="AA40" s="181">
        <f>9058.8*VINMAX^-1.677</f>
        <v>7.2919093041292484</v>
      </c>
      <c r="AB40" s="25" t="s">
        <v>25</v>
      </c>
      <c r="AD40" s="25">
        <v>0.1</v>
      </c>
      <c r="AE40" s="181">
        <f>254877.35*VINMAX^-2.292</f>
        <v>15.044111215513116</v>
      </c>
      <c r="AF40" s="25" t="s">
        <v>25</v>
      </c>
      <c r="AH40" s="25">
        <v>0.1</v>
      </c>
      <c r="AI40" s="181">
        <f>23236.2*VINMAX^-1.559</f>
        <v>30.878575813191468</v>
      </c>
      <c r="AJ40" s="25" t="s">
        <v>25</v>
      </c>
      <c r="AL40" s="25">
        <v>0.1</v>
      </c>
      <c r="AM40" s="181">
        <f>7262.7*VINMAX^-1.615</f>
        <v>7.6078995625440982</v>
      </c>
      <c r="AN40" s="25" t="s">
        <v>25</v>
      </c>
      <c r="AP40" s="25">
        <v>0.1</v>
      </c>
      <c r="AQ40" s="181">
        <f>25472*VINMAX^-1.733</f>
        <v>16.162485293337312</v>
      </c>
      <c r="AR40" s="25" t="s">
        <v>25</v>
      </c>
      <c r="AT40" s="25">
        <v>0.1</v>
      </c>
      <c r="AU40" s="181">
        <f>5027.2*VINMAX^-1.526</f>
        <v>7.6861092691902142</v>
      </c>
      <c r="AV40" s="25" t="s">
        <v>25</v>
      </c>
      <c r="AX40" s="25">
        <v>0.1</v>
      </c>
      <c r="AY40" s="181">
        <f>3987.9*VINMAX^-1.564</f>
        <v>5.1881308976008231</v>
      </c>
      <c r="AZ40" s="25" t="s">
        <v>25</v>
      </c>
      <c r="BB40" s="25">
        <v>0.1</v>
      </c>
      <c r="BC40" s="181">
        <f>450*VINMAX^-1</f>
        <v>6.4285714285714279</v>
      </c>
      <c r="BD40" s="25" t="s">
        <v>25</v>
      </c>
      <c r="BF40" s="25">
        <v>0.1</v>
      </c>
      <c r="BG40" s="181">
        <f>2213.6*VINMAX^-1.334</f>
        <v>7.6513551472277976</v>
      </c>
      <c r="BH40" s="25" t="s">
        <v>25</v>
      </c>
      <c r="BJ40" s="25">
        <v>0.1</v>
      </c>
      <c r="BK40" s="181">
        <f>2786.8*VINMAX^-1.436</f>
        <v>6.2451808078295281</v>
      </c>
      <c r="BL40" s="25" t="s">
        <v>25</v>
      </c>
      <c r="BN40" s="25">
        <v>0.1</v>
      </c>
      <c r="BO40" s="181">
        <f>3055.1*VINMAX^-1.399</f>
        <v>8.0118585322719049</v>
      </c>
      <c r="BP40" s="25" t="s">
        <v>25</v>
      </c>
      <c r="BR40" s="25">
        <v>0.1</v>
      </c>
      <c r="BS40" s="181">
        <f>8287.2884*VINMAX^-1.6338</f>
        <v>8.0147738937719577</v>
      </c>
      <c r="BT40" s="25" t="s">
        <v>25</v>
      </c>
      <c r="BV40" s="25">
        <v>0.1</v>
      </c>
      <c r="BW40" s="181">
        <f>1328.6*VINMAX^-1.437</f>
        <v>2.964751958346822</v>
      </c>
      <c r="BX40" s="25" t="s">
        <v>25</v>
      </c>
    </row>
    <row r="41" spans="2:76" x14ac:dyDescent="0.25">
      <c r="B41" s="25">
        <v>1</v>
      </c>
      <c r="C41" s="3">
        <f>'Design Calculator'!H59</f>
        <v>20</v>
      </c>
      <c r="D41" s="25" t="s">
        <v>25</v>
      </c>
      <c r="F41" s="25">
        <v>1</v>
      </c>
      <c r="G41" s="3">
        <f>18540.6*VINMAX^-1.848</f>
        <v>7.2174304322498708</v>
      </c>
      <c r="H41" s="25" t="s">
        <v>25</v>
      </c>
      <c r="J41" s="25">
        <v>1</v>
      </c>
      <c r="K41" s="181">
        <f>10892.05*VINMAX^-1.811</f>
        <v>4.9617751058568649</v>
      </c>
      <c r="L41" s="25" t="s">
        <v>25</v>
      </c>
      <c r="N41" s="25">
        <v>1</v>
      </c>
      <c r="O41" s="181">
        <f>5035.355*VINMAX^-1.742</f>
        <v>3.075171270626186</v>
      </c>
      <c r="P41" s="25" t="s">
        <v>25</v>
      </c>
      <c r="R41" s="25">
        <v>1</v>
      </c>
      <c r="S41" s="181">
        <f>8530.6*VINMAX^-1.677</f>
        <v>6.8667330672721523</v>
      </c>
      <c r="T41" s="25" t="s">
        <v>25</v>
      </c>
      <c r="V41" s="25">
        <v>1</v>
      </c>
      <c r="W41" s="181">
        <f>4926.09*VINMAX^-1.645</f>
        <v>4.5427210182437552</v>
      </c>
      <c r="X41" s="25" t="s">
        <v>25</v>
      </c>
      <c r="Z41" s="25">
        <v>1</v>
      </c>
      <c r="AA41" s="181">
        <f>2847.4*VINMAX^-1.677</f>
        <v>2.2920235078131346</v>
      </c>
      <c r="AB41" s="25" t="s">
        <v>25</v>
      </c>
      <c r="AD41" s="25">
        <v>1</v>
      </c>
      <c r="AE41" s="181">
        <f>3649.035*VINMAX^-1.776</f>
        <v>1.9287853996080866</v>
      </c>
      <c r="AF41" s="25" t="s">
        <v>25</v>
      </c>
      <c r="AH41" s="25">
        <v>1</v>
      </c>
      <c r="AI41" s="181">
        <f>4614.61*VINMAX^-1.711</f>
        <v>3.2149354418012681</v>
      </c>
      <c r="AJ41" s="25" t="s">
        <v>25</v>
      </c>
      <c r="AL41" s="25">
        <v>1</v>
      </c>
      <c r="AM41" s="181">
        <f>2213.6*VINMAX^-1.615</f>
        <v>2.3188134539011132</v>
      </c>
      <c r="AN41" s="25" t="s">
        <v>25</v>
      </c>
      <c r="AP41" s="25">
        <v>1</v>
      </c>
      <c r="AQ41" s="181">
        <f>5126.7*VINMAX^-1.733</f>
        <v>3.2529920443370126</v>
      </c>
      <c r="AR41" s="25" t="s">
        <v>25</v>
      </c>
      <c r="AT41" s="25">
        <v>1</v>
      </c>
      <c r="AU41" s="181">
        <f>1653.3*VINMAX^-1.526</f>
        <v>2.5277379962508317</v>
      </c>
      <c r="AV41" s="25" t="s">
        <v>25</v>
      </c>
      <c r="AX41" s="25">
        <v>1</v>
      </c>
      <c r="AY41" s="181">
        <f>1139.3*VINMAX^-1.564</f>
        <v>1.4821930167849289</v>
      </c>
      <c r="AZ41" s="25" t="s">
        <v>25</v>
      </c>
      <c r="BB41" s="25">
        <v>1</v>
      </c>
      <c r="BC41" s="181">
        <f>270.803*VINMAX^-1.12</f>
        <v>2.3235052943915346</v>
      </c>
      <c r="BD41" s="25" t="s">
        <v>25</v>
      </c>
      <c r="BF41" s="25">
        <v>1</v>
      </c>
      <c r="BG41" s="181">
        <f>700*VINMAX^-1.334</f>
        <v>2.4195647827337634</v>
      </c>
      <c r="BH41" s="25" t="s">
        <v>25</v>
      </c>
      <c r="BJ41" s="25">
        <v>1</v>
      </c>
      <c r="BK41" s="181">
        <f>700*VINMAX^-1.436</f>
        <v>1.5686904569688065</v>
      </c>
      <c r="BL41" s="25" t="s">
        <v>25</v>
      </c>
      <c r="BN41" s="25">
        <v>1</v>
      </c>
      <c r="BO41" s="181">
        <f>556.03*VINMAX^-1.399</f>
        <v>1.4581629732902843</v>
      </c>
      <c r="BP41" s="25" t="s">
        <v>25</v>
      </c>
      <c r="BR41" s="25">
        <v>1</v>
      </c>
      <c r="BS41" s="181">
        <f>1050.9707*VINMAX^-1.64545</f>
        <v>0.96732862286978161</v>
      </c>
      <c r="BT41" s="25" t="s">
        <v>25</v>
      </c>
      <c r="BV41" s="25">
        <v>1</v>
      </c>
      <c r="BW41" s="181">
        <f>412.19*VINMAX^-1.437</f>
        <v>0.91979610846829485</v>
      </c>
      <c r="BX41" s="25" t="s">
        <v>25</v>
      </c>
    </row>
    <row r="42" spans="2:76" x14ac:dyDescent="0.25">
      <c r="B42" s="25">
        <v>10</v>
      </c>
      <c r="C42" s="3">
        <f>'Design Calculator'!H60</f>
        <v>5</v>
      </c>
      <c r="D42" s="25" t="s">
        <v>25</v>
      </c>
      <c r="F42" s="25">
        <v>10</v>
      </c>
      <c r="G42" s="3">
        <f>4210.83*VINMAX^-1.786</f>
        <v>2.1331559602083163</v>
      </c>
      <c r="H42" s="25" t="s">
        <v>25</v>
      </c>
      <c r="J42" s="25">
        <v>10</v>
      </c>
      <c r="K42" s="181">
        <f>2539.81*VINMAX^-1.762</f>
        <v>1.4247493985292883</v>
      </c>
      <c r="L42" s="25" t="s">
        <v>25</v>
      </c>
      <c r="N42" s="25">
        <v>10</v>
      </c>
      <c r="O42" s="181">
        <f>1366.82*VINMAX^-1.659</f>
        <v>1.1876642299778397</v>
      </c>
      <c r="P42" s="25" t="s">
        <v>25</v>
      </c>
      <c r="R42" s="25">
        <v>10</v>
      </c>
      <c r="S42" s="181">
        <f>1565.525*VINMAX^-1.487</f>
        <v>2.8248749130463708</v>
      </c>
      <c r="T42" s="25" t="s">
        <v>25</v>
      </c>
      <c r="V42" s="25">
        <v>10</v>
      </c>
      <c r="W42" s="181">
        <f>1494.22*VINMAX^-1.647</f>
        <v>1.3662748473638264</v>
      </c>
      <c r="X42" s="25" t="s">
        <v>25</v>
      </c>
      <c r="Z42" s="25">
        <v>10</v>
      </c>
      <c r="AA42" s="181">
        <f>1085.4*VINMAX^-1.677</f>
        <v>0.87369611413232295</v>
      </c>
      <c r="AB42" s="25" t="s">
        <v>25</v>
      </c>
      <c r="AD42" s="25">
        <v>10</v>
      </c>
      <c r="AE42" s="181">
        <f>1388.79*VINMAX^-1.801</f>
        <v>0.66010802209608332</v>
      </c>
      <c r="AF42" s="25" t="s">
        <v>25</v>
      </c>
      <c r="AH42" s="25">
        <v>10</v>
      </c>
      <c r="AI42" s="181">
        <f>1390.155*VINMAX^-1.765</f>
        <v>0.76995471964614826</v>
      </c>
      <c r="AJ42" s="25" t="s">
        <v>25</v>
      </c>
      <c r="AL42" s="25">
        <v>10</v>
      </c>
      <c r="AM42" s="181">
        <f>822.43*VINMAX^-1.615</f>
        <v>0.86152048648892865</v>
      </c>
      <c r="AN42" s="25" t="s">
        <v>25</v>
      </c>
      <c r="AP42" s="25">
        <v>10</v>
      </c>
      <c r="AQ42" s="181">
        <f>1760.7*VINMAX^-1.733</f>
        <v>1.1171988008785727</v>
      </c>
      <c r="AR42" s="25" t="s">
        <v>25</v>
      </c>
      <c r="AT42" s="25">
        <v>10</v>
      </c>
      <c r="AU42" s="181">
        <f>679.18*VINMAX^-1.526</f>
        <v>1.0384014348839532</v>
      </c>
      <c r="AV42" s="25" t="s">
        <v>25</v>
      </c>
      <c r="AX42" s="25">
        <v>10</v>
      </c>
      <c r="AY42" s="181">
        <f>418.17*VINMAX^-1.564</f>
        <v>0.54402585256644753</v>
      </c>
      <c r="AZ42" s="25" t="s">
        <v>25</v>
      </c>
      <c r="BB42" s="25">
        <v>10</v>
      </c>
      <c r="BC42" s="181">
        <f>407.4016*VINMAX^-1.56317</f>
        <v>0.53188877747981433</v>
      </c>
      <c r="BD42" s="25" t="s">
        <v>25</v>
      </c>
      <c r="BF42" s="25">
        <v>10</v>
      </c>
      <c r="BG42" s="181">
        <f>278.68*VINMAX^-1.334</f>
        <v>0.96326330521749304</v>
      </c>
      <c r="BH42" s="25" t="s">
        <v>25</v>
      </c>
      <c r="BJ42" s="25">
        <v>10</v>
      </c>
      <c r="BK42" s="181">
        <f>226.52*VINMAX^-1.436</f>
        <v>0.50762823187510575</v>
      </c>
      <c r="BL42" s="25" t="s">
        <v>25</v>
      </c>
      <c r="BN42" s="25">
        <v>10</v>
      </c>
      <c r="BO42" s="181">
        <f>197.29*VINMAX^-1.399</f>
        <v>0.51738390554545655</v>
      </c>
      <c r="BP42" s="25" t="s">
        <v>25</v>
      </c>
      <c r="BR42" s="25">
        <v>10</v>
      </c>
      <c r="BS42" s="181">
        <f>13.3098*VINMAX^-0.761056</f>
        <v>0.52474534619465152</v>
      </c>
      <c r="BT42" s="25" t="s">
        <v>25</v>
      </c>
      <c r="BV42" s="25">
        <v>10</v>
      </c>
      <c r="BW42" s="181">
        <f>167.92*VINMAX^-1.437</f>
        <v>0.37471108598946135</v>
      </c>
      <c r="BX42" s="25" t="s">
        <v>25</v>
      </c>
    </row>
    <row r="43" spans="2:76" x14ac:dyDescent="0.25">
      <c r="B43" s="25">
        <v>100</v>
      </c>
      <c r="C43" s="3">
        <f>'Design Calculator'!H61</f>
        <v>1</v>
      </c>
      <c r="D43" s="25" t="s">
        <v>25</v>
      </c>
      <c r="F43" s="25">
        <v>100</v>
      </c>
      <c r="G43" s="3">
        <f>795.6*VINMAX^-1.492</f>
        <v>1.4054276670697823</v>
      </c>
      <c r="H43" s="25" t="s">
        <v>25</v>
      </c>
      <c r="J43" s="25">
        <v>100</v>
      </c>
      <c r="K43" s="181">
        <f>1006.005*VINMAX^-1.605</f>
        <v>1.0995570944759736</v>
      </c>
      <c r="L43" s="25" t="s">
        <v>25</v>
      </c>
      <c r="N43" s="25">
        <v>100</v>
      </c>
      <c r="O43" s="181">
        <f>108.017*VINMAX^-1.122</f>
        <v>0.91895048303301019</v>
      </c>
      <c r="P43" s="25" t="s">
        <v>25</v>
      </c>
      <c r="R43" s="25">
        <v>100</v>
      </c>
      <c r="S43" s="181">
        <f>334.6265*VINMAX^-1.214</f>
        <v>1.9258005677034118</v>
      </c>
      <c r="T43" s="25" t="s">
        <v>25</v>
      </c>
      <c r="V43" s="25">
        <v>100</v>
      </c>
      <c r="W43" s="181">
        <f>351.234*VINMAX^-1.35</f>
        <v>1.1342641234064856</v>
      </c>
      <c r="X43" s="25" t="s">
        <v>25</v>
      </c>
      <c r="Z43" s="25">
        <v>100</v>
      </c>
      <c r="AA43" s="181">
        <f>314.18*VINMAX^-1.677</f>
        <v>0.25290017057130387</v>
      </c>
      <c r="AB43" s="25" t="s">
        <v>25</v>
      </c>
      <c r="AD43" s="25">
        <v>100</v>
      </c>
      <c r="AE43" s="181">
        <f>144.5275*VINMAX^-1.28</f>
        <v>0.6283838274805823</v>
      </c>
      <c r="AF43" s="25" t="s">
        <v>25</v>
      </c>
      <c r="AH43" s="25">
        <v>100</v>
      </c>
      <c r="AI43" s="181">
        <f>695.825*VINMAX^-1.644</f>
        <v>0.64440492432221064</v>
      </c>
      <c r="AJ43" s="25" t="s">
        <v>25</v>
      </c>
      <c r="AL43" s="25">
        <v>100</v>
      </c>
      <c r="AM43" s="181">
        <f>266.13*VINMAX^-1.615</f>
        <v>0.27877928464343299</v>
      </c>
      <c r="AN43" s="25" t="s">
        <v>25</v>
      </c>
      <c r="AP43" s="25">
        <v>100</v>
      </c>
      <c r="AQ43" s="181">
        <f>1037.9*VINMAX^-1.733</f>
        <v>0.65856797605036099</v>
      </c>
      <c r="AR43" s="25" t="s">
        <v>25</v>
      </c>
      <c r="AT43" s="25">
        <v>100</v>
      </c>
      <c r="AU43" s="181">
        <f>180.1*VINMAX^-1.526</f>
        <v>0.27535572075532255</v>
      </c>
      <c r="AV43" s="25" t="s">
        <v>25</v>
      </c>
      <c r="AX43" s="25">
        <v>100</v>
      </c>
      <c r="AY43" s="181">
        <f>157.27*VINMAX^-1.564</f>
        <v>0.20460326143225294</v>
      </c>
      <c r="AZ43" s="25" t="s">
        <v>25</v>
      </c>
      <c r="BB43" s="25">
        <v>100</v>
      </c>
      <c r="BC43" s="181">
        <f>111.1856*VINMAX^-1.2291</f>
        <v>0.60012061139577277</v>
      </c>
      <c r="BD43" s="25" t="s">
        <v>25</v>
      </c>
      <c r="BF43" s="25">
        <v>100</v>
      </c>
      <c r="BG43" s="181">
        <f>124.48*VINMAX^-1.334</f>
        <v>0.43026774879242696</v>
      </c>
      <c r="BH43" s="25" t="s">
        <v>25</v>
      </c>
      <c r="BJ43" s="25">
        <v>100</v>
      </c>
      <c r="BK43" s="181">
        <f>175.83*VINMAX^-1.436</f>
        <v>0.39403263292689322</v>
      </c>
      <c r="BL43" s="25" t="s">
        <v>25</v>
      </c>
      <c r="BN43" s="25">
        <v>100</v>
      </c>
      <c r="BO43" s="181">
        <f>116.17*VINMAX^-1.399</f>
        <v>0.3046504552040939</v>
      </c>
      <c r="BP43" s="25" t="s">
        <v>25</v>
      </c>
      <c r="BR43" s="25">
        <v>100</v>
      </c>
      <c r="BS43" s="181">
        <f>87.16708*VINMAX^-1.583</f>
        <v>0.10460737412965913</v>
      </c>
      <c r="BT43" s="25" t="s">
        <v>25</v>
      </c>
      <c r="BV43" s="25">
        <v>100</v>
      </c>
      <c r="BW43" s="181">
        <f>84.159*VINMAX^-1.437</f>
        <v>0.18779960865761719</v>
      </c>
      <c r="BX43" s="25" t="s">
        <v>25</v>
      </c>
    </row>
    <row r="44" spans="2:76" x14ac:dyDescent="0.25">
      <c r="BW44" s="25"/>
    </row>
    <row r="45" spans="2:76" x14ac:dyDescent="0.25">
      <c r="B45" s="25" t="s">
        <v>600</v>
      </c>
      <c r="C45">
        <f>IF('Design Calculator'!F30="Soft Start",'Design Calculator'!F31-0.00001,'Design Calculator'!F81)</f>
        <v>4.999E-2</v>
      </c>
      <c r="D45" s="25" t="s">
        <v>8</v>
      </c>
      <c r="F45" s="25" t="s">
        <v>600</v>
      </c>
      <c r="G45">
        <f>IF('Design Calculator'!F30="Soft Start",'Design Calculator'!F31-0.00001,'Design Calculator'!F81)</f>
        <v>4.999E-2</v>
      </c>
      <c r="H45" s="25" t="s">
        <v>8</v>
      </c>
      <c r="J45" s="25" t="s">
        <v>600</v>
      </c>
      <c r="K45">
        <f>IF('Design Calculator'!F30="Soft Start",'Design Calculator'!F31-0.00001,'Design Calculator'!F81)</f>
        <v>4.999E-2</v>
      </c>
      <c r="L45" s="25" t="s">
        <v>8</v>
      </c>
      <c r="N45" s="25" t="s">
        <v>600</v>
      </c>
      <c r="O45">
        <f>IF('Design Calculator'!F30="Soft Start",'Design Calculator'!F31-0.00001,'Design Calculator'!F81)</f>
        <v>4.999E-2</v>
      </c>
      <c r="P45" s="25" t="s">
        <v>8</v>
      </c>
      <c r="R45" s="25" t="s">
        <v>600</v>
      </c>
      <c r="S45">
        <f>IF('Design Calculator'!F30="Soft Start",'Design Calculator'!F31-0.00001,'Design Calculator'!F81)</f>
        <v>4.999E-2</v>
      </c>
      <c r="T45" s="25" t="s">
        <v>8</v>
      </c>
      <c r="V45" s="25" t="s">
        <v>600</v>
      </c>
      <c r="W45">
        <f>IF('Design Calculator'!F30="Soft Start",'Design Calculator'!F31-0.00001,'Design Calculator'!F81)</f>
        <v>4.999E-2</v>
      </c>
      <c r="X45" s="25" t="s">
        <v>8</v>
      </c>
      <c r="Z45" s="25" t="s">
        <v>600</v>
      </c>
      <c r="AA45">
        <f>IF('Design Calculator'!F30="Soft Start",'Design Calculator'!F31-0.00001,'Design Calculator'!F81)</f>
        <v>4.999E-2</v>
      </c>
      <c r="AB45" s="25" t="s">
        <v>8</v>
      </c>
      <c r="AD45" s="25" t="s">
        <v>600</v>
      </c>
      <c r="AE45">
        <f>IF('Design Calculator'!F30="Soft Start",'Design Calculator'!F31-0.00001,'Design Calculator'!F81)</f>
        <v>4.999E-2</v>
      </c>
      <c r="AF45" s="25" t="s">
        <v>8</v>
      </c>
      <c r="AH45" s="25" t="s">
        <v>600</v>
      </c>
      <c r="AI45">
        <f>IF('Design Calculator'!F30="Soft Start",'Design Calculator'!F31-0.00001,'Design Calculator'!F81)</f>
        <v>4.999E-2</v>
      </c>
      <c r="AJ45" s="25" t="s">
        <v>8</v>
      </c>
      <c r="AL45" s="25" t="s">
        <v>600</v>
      </c>
      <c r="AM45">
        <f>IF('Design Calculator'!F30="Soft Start",'Design Calculator'!F31-0.00001,'Design Calculator'!F81)</f>
        <v>4.999E-2</v>
      </c>
      <c r="AN45" s="25" t="s">
        <v>8</v>
      </c>
      <c r="AP45" s="25" t="s">
        <v>600</v>
      </c>
      <c r="AQ45">
        <f>IF('Design Calculator'!F30="Soft Start",'Design Calculator'!F31-0.00001,'Design Calculator'!F81)</f>
        <v>4.999E-2</v>
      </c>
      <c r="AR45" s="25" t="s">
        <v>8</v>
      </c>
      <c r="AT45" s="25" t="s">
        <v>600</v>
      </c>
      <c r="AU45">
        <f>IF('Design Calculator'!F30="Soft Start",'Design Calculator'!F31-0.00001,'Design Calculator'!F81)</f>
        <v>4.999E-2</v>
      </c>
      <c r="AV45" s="25" t="s">
        <v>8</v>
      </c>
      <c r="AX45" s="25" t="s">
        <v>600</v>
      </c>
      <c r="AY45">
        <f>IF('Design Calculator'!F30="Soft Start",'Design Calculator'!F31-0.00001,'Design Calculator'!F81)</f>
        <v>4.999E-2</v>
      </c>
      <c r="AZ45" s="25" t="s">
        <v>8</v>
      </c>
      <c r="BB45" s="25" t="s">
        <v>600</v>
      </c>
      <c r="BC45">
        <f>IF('Design Calculator'!F30="Soft Start",'Design Calculator'!F31-0.00001,'Design Calculator'!F81)</f>
        <v>4.999E-2</v>
      </c>
      <c r="BD45" s="25" t="s">
        <v>8</v>
      </c>
      <c r="BF45" s="25" t="s">
        <v>600</v>
      </c>
      <c r="BG45">
        <f>IF('Design Calculator'!F30="Soft Start",'Design Calculator'!F31-0.00001,'Design Calculator'!F81)</f>
        <v>4.999E-2</v>
      </c>
      <c r="BH45" s="25" t="s">
        <v>8</v>
      </c>
      <c r="BJ45" s="25" t="s">
        <v>600</v>
      </c>
      <c r="BK45">
        <f>IF('Design Calculator'!F30="Soft Start",'Design Calculator'!F31-0.00001,'Design Calculator'!F81)</f>
        <v>4.999E-2</v>
      </c>
      <c r="BL45" s="25" t="s">
        <v>8</v>
      </c>
      <c r="BN45" s="25" t="s">
        <v>600</v>
      </c>
      <c r="BO45">
        <f>IF('Design Calculator'!F30="Soft Start",'Design Calculator'!F31-0.00001,'Design Calculator'!F81)</f>
        <v>4.999E-2</v>
      </c>
      <c r="BP45" s="25" t="s">
        <v>8</v>
      </c>
      <c r="BR45" s="25" t="s">
        <v>600</v>
      </c>
      <c r="BS45">
        <f>IF('Design Calculator'!F30="Soft Start",'Design Calculator'!F31-0.00001,'Design Calculator'!F81)</f>
        <v>4.999E-2</v>
      </c>
      <c r="BT45" s="25" t="s">
        <v>8</v>
      </c>
      <c r="BV45" s="25" t="s">
        <v>600</v>
      </c>
      <c r="BW45">
        <f>IF('Design Calculator'!F30="Soft Start",'Design Calculator'!F31-0.00001,'Design Calculator'!F81)</f>
        <v>4.999E-2</v>
      </c>
      <c r="BX45" s="25" t="s">
        <v>8</v>
      </c>
    </row>
    <row r="47" spans="2:76" x14ac:dyDescent="0.25">
      <c r="B47" s="25" t="s">
        <v>175</v>
      </c>
      <c r="C47">
        <f>IF(C45&gt;B42,10,IF(C45&gt;B41,1,IF(C45&gt;B40,0.1,0.01)))</f>
        <v>0.01</v>
      </c>
      <c r="D47" s="25" t="s">
        <v>8</v>
      </c>
      <c r="F47" s="25" t="s">
        <v>175</v>
      </c>
      <c r="G47">
        <f>IF(G45&gt;F42,10,IF(G45&gt;F41,1,IF(G45&gt;F40,0.1,0.01)))</f>
        <v>0.01</v>
      </c>
      <c r="H47" s="25" t="s">
        <v>8</v>
      </c>
      <c r="J47" s="25" t="s">
        <v>175</v>
      </c>
      <c r="K47">
        <f>IF(K45&gt;J42,10,IF(K45&gt;J41,1,IF(K45&gt;J40,0.1,0.01)))</f>
        <v>0.01</v>
      </c>
      <c r="L47" s="25" t="s">
        <v>8</v>
      </c>
      <c r="N47" s="25" t="s">
        <v>175</v>
      </c>
      <c r="O47">
        <f>IF(O45&gt;N42,10,IF(O45&gt;N41,1,IF(O45&gt;N40,0.1,0.01)))</f>
        <v>0.01</v>
      </c>
      <c r="P47" s="25" t="s">
        <v>8</v>
      </c>
      <c r="R47" s="25" t="s">
        <v>175</v>
      </c>
      <c r="S47">
        <f>IF(S45&gt;R42,10,IF(S45&gt;R41,1,IF(S45&gt;R40,0.1,0.01)))</f>
        <v>0.01</v>
      </c>
      <c r="T47" s="25" t="s">
        <v>8</v>
      </c>
      <c r="V47" s="25" t="s">
        <v>175</v>
      </c>
      <c r="W47">
        <f>IF(W45&gt;V42,10,IF(W45&gt;V41,1,IF(W45&gt;V40,0.1,0.01)))</f>
        <v>0.01</v>
      </c>
      <c r="X47" s="25" t="s">
        <v>8</v>
      </c>
      <c r="Z47" s="25" t="s">
        <v>175</v>
      </c>
      <c r="AA47">
        <f>IF(AA45&gt;Z42,10,IF(AA45&gt;Z41,1,IF(AA45&gt;Z40,0.1,0.01)))</f>
        <v>0.01</v>
      </c>
      <c r="AB47" s="25" t="s">
        <v>8</v>
      </c>
      <c r="AD47" s="25" t="s">
        <v>175</v>
      </c>
      <c r="AE47">
        <f>IF(AE45&gt;AD42,10,IF(AE45&gt;AD41,1,IF(AE45&gt;AD40,0.1,0.01)))</f>
        <v>0.01</v>
      </c>
      <c r="AF47" s="25" t="s">
        <v>8</v>
      </c>
      <c r="AH47" s="25" t="s">
        <v>175</v>
      </c>
      <c r="AI47">
        <f>IF(AI45&gt;AH42,10,IF(AI45&gt;AH41,1,IF(AI45&gt;AH40,0.1,0.01)))</f>
        <v>0.01</v>
      </c>
      <c r="AJ47" s="25" t="s">
        <v>8</v>
      </c>
      <c r="AL47" s="25" t="s">
        <v>175</v>
      </c>
      <c r="AM47">
        <f>IF(AM45&gt;AL42,10,IF(AM45&gt;AL41,1,IF(AM45&gt;AL40,0.1,0.01)))</f>
        <v>0.01</v>
      </c>
      <c r="AN47" s="25" t="s">
        <v>8</v>
      </c>
      <c r="AP47" s="25" t="s">
        <v>175</v>
      </c>
      <c r="AQ47">
        <f>IF(AQ45&gt;AP42,10,IF(AQ45&gt;AP41,1,IF(AQ45&gt;AP40,0.1,0.01)))</f>
        <v>0.01</v>
      </c>
      <c r="AR47" s="25" t="s">
        <v>8</v>
      </c>
      <c r="AT47" s="25" t="s">
        <v>175</v>
      </c>
      <c r="AU47">
        <f>IF(AU45&gt;AT42,10,IF(AU45&gt;AT41,1,IF(AU45&gt;AT40,0.1,0.01)))</f>
        <v>0.01</v>
      </c>
      <c r="AV47" s="25" t="s">
        <v>8</v>
      </c>
      <c r="AX47" s="25" t="s">
        <v>175</v>
      </c>
      <c r="AY47">
        <f>IF(AY45&gt;AX42,10,IF(AY45&gt;AX41,1,IF(AY45&gt;AX40,0.1,0.01)))</f>
        <v>0.01</v>
      </c>
      <c r="AZ47" s="25" t="s">
        <v>8</v>
      </c>
      <c r="BB47" s="25" t="s">
        <v>175</v>
      </c>
      <c r="BC47">
        <f>IF(BC45&gt;BB42,10,IF(BC45&gt;BB41,1,IF(BC45&gt;BB40,0.1,0.01)))</f>
        <v>0.01</v>
      </c>
      <c r="BD47" s="25" t="s">
        <v>8</v>
      </c>
      <c r="BF47" s="25" t="s">
        <v>175</v>
      </c>
      <c r="BG47">
        <f>IF(BG45&gt;BF42,10,IF(BG45&gt;BF41,1,IF(BG45&gt;BF40,0.1,0.01)))</f>
        <v>0.01</v>
      </c>
      <c r="BH47" s="25" t="s">
        <v>8</v>
      </c>
      <c r="BJ47" s="25" t="s">
        <v>175</v>
      </c>
      <c r="BK47">
        <f>IF(BK45&gt;BJ42,10,IF(BK45&gt;BJ41,1,IF(BK45&gt;BJ40,0.1,0.01)))</f>
        <v>0.01</v>
      </c>
      <c r="BL47" s="25" t="s">
        <v>8</v>
      </c>
      <c r="BN47" s="25" t="s">
        <v>175</v>
      </c>
      <c r="BO47">
        <f>IF(BO45&gt;BN42,10,IF(BO45&gt;BN41,1,IF(BO45&gt;BN40,0.1,0.01)))</f>
        <v>0.01</v>
      </c>
      <c r="BP47" s="25" t="s">
        <v>8</v>
      </c>
      <c r="BR47" s="25" t="s">
        <v>175</v>
      </c>
      <c r="BS47">
        <f>IF(BS45&gt;BR42,10,IF(BS45&gt;BR41,1,IF(BS45&gt;BR40,0.1,0.01)))</f>
        <v>0.01</v>
      </c>
      <c r="BT47" s="25" t="s">
        <v>8</v>
      </c>
      <c r="BV47" s="25" t="s">
        <v>175</v>
      </c>
      <c r="BW47">
        <f>IF(BW45&gt;BV42,10,IF(BW45&gt;BV41,1,IF(BW45&gt;BV40,0.1,0.01)))</f>
        <v>0.01</v>
      </c>
      <c r="BX47" s="25" t="s">
        <v>8</v>
      </c>
    </row>
    <row r="48" spans="2:76" x14ac:dyDescent="0.25">
      <c r="B48" s="25" t="s">
        <v>601</v>
      </c>
      <c r="C48">
        <f>LOOKUP(C47,B39:B43,C39:C43)</f>
        <v>400</v>
      </c>
      <c r="D48" s="25" t="s">
        <v>25</v>
      </c>
      <c r="F48" s="25" t="s">
        <v>601</v>
      </c>
      <c r="G48">
        <f>LOOKUP(G47,F39:F43,G39:G43)</f>
        <v>400</v>
      </c>
      <c r="H48" s="25" t="s">
        <v>25</v>
      </c>
      <c r="J48" s="25" t="s">
        <v>601</v>
      </c>
      <c r="K48">
        <f>LOOKUP(K47,J39:J43,K39:K43)</f>
        <v>400</v>
      </c>
      <c r="L48" s="25" t="s">
        <v>25</v>
      </c>
      <c r="N48" s="25" t="s">
        <v>601</v>
      </c>
      <c r="O48">
        <f>LOOKUP(O47,N39:N43,O39:O43)</f>
        <v>400</v>
      </c>
      <c r="P48" s="25" t="s">
        <v>25</v>
      </c>
      <c r="R48" s="25" t="s">
        <v>601</v>
      </c>
      <c r="S48">
        <f>LOOKUP(S47,R39:R43,S39:S43)</f>
        <v>400</v>
      </c>
      <c r="T48" s="25" t="s">
        <v>25</v>
      </c>
      <c r="V48" s="25" t="s">
        <v>601</v>
      </c>
      <c r="W48">
        <f>LOOKUP(W47,V39:V43,W39:W43)</f>
        <v>400</v>
      </c>
      <c r="X48" s="25" t="s">
        <v>25</v>
      </c>
      <c r="Z48" s="25" t="s">
        <v>601</v>
      </c>
      <c r="AA48">
        <f>LOOKUP(AA47,Z39:Z43,AA39:AA43)</f>
        <v>29.240726959619277</v>
      </c>
      <c r="AB48" s="25" t="s">
        <v>25</v>
      </c>
      <c r="AD48" s="25" t="s">
        <v>601</v>
      </c>
      <c r="AE48">
        <f>LOOKUP(AE47,AD39:AD43,AE39:AE43)</f>
        <v>400</v>
      </c>
      <c r="AF48" s="25" t="s">
        <v>25</v>
      </c>
      <c r="AH48" s="25" t="s">
        <v>601</v>
      </c>
      <c r="AI48">
        <f>LOOKUP(AI47,AH39:AH43,AI39:AI43)</f>
        <v>400</v>
      </c>
      <c r="AJ48" s="25" t="s">
        <v>25</v>
      </c>
      <c r="AL48" s="25" t="s">
        <v>601</v>
      </c>
      <c r="AM48">
        <f>LOOKUP(AM47,AL39:AL43,AM39:AM43)</f>
        <v>31.65637087861025</v>
      </c>
      <c r="AN48" s="25" t="s">
        <v>25</v>
      </c>
      <c r="AP48" s="25" t="s">
        <v>601</v>
      </c>
      <c r="AQ48">
        <f>LOOKUP(AQ47,AP39:AP43,AQ39:AQ43)</f>
        <v>400</v>
      </c>
      <c r="AR48" s="25" t="s">
        <v>25</v>
      </c>
      <c r="AT48" s="25" t="s">
        <v>601</v>
      </c>
      <c r="AU48">
        <f>LOOKUP(AU47,AT39:AT43,AU39:AU43)</f>
        <v>30.860939608252007</v>
      </c>
      <c r="AV48" s="25" t="s">
        <v>25</v>
      </c>
      <c r="AX48" s="25" t="s">
        <v>601</v>
      </c>
      <c r="AY48">
        <f>LOOKUP(AY47,AX39:AX43,AY39:AY43)</f>
        <v>24.839384946436098</v>
      </c>
      <c r="AZ48" s="25" t="s">
        <v>25</v>
      </c>
      <c r="BB48" s="25" t="s">
        <v>601</v>
      </c>
      <c r="BC48">
        <f>LOOKUP(BC47,BB39:BB43,BC39:BC43)</f>
        <v>24.899399551120847</v>
      </c>
      <c r="BD48" s="25" t="s">
        <v>25</v>
      </c>
      <c r="BF48" s="25" t="s">
        <v>601</v>
      </c>
      <c r="BG48">
        <f>LOOKUP(BG47,BF39:BF43,BG39:BG43)</f>
        <v>39.418571428571433</v>
      </c>
      <c r="BH48" s="25" t="s">
        <v>25</v>
      </c>
      <c r="BJ48" s="25" t="s">
        <v>601</v>
      </c>
      <c r="BK48">
        <f>LOOKUP(BK47,BJ39:BJ43,BK39:BK43)</f>
        <v>53.114285714285714</v>
      </c>
      <c r="BL48" s="25" t="s">
        <v>25</v>
      </c>
      <c r="BN48" s="25" t="s">
        <v>601</v>
      </c>
      <c r="BO48">
        <f>LOOKUP(BO47,BN39:BN43,BO39:BO43)</f>
        <v>84.992857142857133</v>
      </c>
      <c r="BP48" s="25" t="s">
        <v>25</v>
      </c>
      <c r="BR48" s="25" t="s">
        <v>601</v>
      </c>
      <c r="BS48">
        <f>LOOKUP(BS47,BR39:BR43,BS39:BS43)</f>
        <v>156</v>
      </c>
      <c r="BT48" s="25" t="s">
        <v>25</v>
      </c>
      <c r="BV48" s="25" t="s">
        <v>601</v>
      </c>
      <c r="BW48">
        <f>LOOKUP(BW47,BV39:BV43,BW39:BW43)</f>
        <v>13.738141977692466</v>
      </c>
      <c r="BX48" s="25" t="s">
        <v>25</v>
      </c>
    </row>
    <row r="49" spans="2:76" x14ac:dyDescent="0.25">
      <c r="B49" s="25" t="s">
        <v>602</v>
      </c>
      <c r="C49">
        <f>IF(C45&lt;B39,0.01,IF(C45&lt;B40,0.1,IF(C45&lt;B41,1,IF(C45&lt;B42,10,100))))</f>
        <v>0.1</v>
      </c>
      <c r="D49" s="25" t="s">
        <v>8</v>
      </c>
      <c r="F49" s="25" t="s">
        <v>602</v>
      </c>
      <c r="G49">
        <f>IF(G45&lt;F39,0.01,IF(G45&lt;F40,0.1,IF(G45&lt;F41,1,IF(G45&lt;F42,10,100))))</f>
        <v>0.1</v>
      </c>
      <c r="H49" s="25" t="s">
        <v>8</v>
      </c>
      <c r="J49" s="25" t="s">
        <v>602</v>
      </c>
      <c r="K49">
        <f>IF(K45&lt;J39,0.01,IF(K45&lt;J40,0.1,IF(K45&lt;J41,1,IF(K45&lt;J42,10,100))))</f>
        <v>0.1</v>
      </c>
      <c r="L49" s="25" t="s">
        <v>8</v>
      </c>
      <c r="N49" s="25" t="s">
        <v>602</v>
      </c>
      <c r="O49">
        <f>IF(O45&lt;N39,0.01,IF(O45&lt;N40,0.1,IF(O45&lt;N41,1,IF(O45&lt;N42,10,100))))</f>
        <v>0.1</v>
      </c>
      <c r="P49" s="25" t="s">
        <v>8</v>
      </c>
      <c r="R49" s="25" t="s">
        <v>602</v>
      </c>
      <c r="S49">
        <f>IF(S45&lt;R39,0.01,IF(S45&lt;R40,0.1,IF(S45&lt;R41,1,IF(S45&lt;R42,10,100))))</f>
        <v>0.1</v>
      </c>
      <c r="T49" s="25" t="s">
        <v>8</v>
      </c>
      <c r="V49" s="25" t="s">
        <v>602</v>
      </c>
      <c r="W49">
        <f>IF(W45&lt;V39,0.01,IF(W45&lt;V40,0.1,IF(W45&lt;V41,1,IF(W45&lt;V42,10,100))))</f>
        <v>0.1</v>
      </c>
      <c r="X49" s="25" t="s">
        <v>8</v>
      </c>
      <c r="Z49" s="25" t="s">
        <v>602</v>
      </c>
      <c r="AA49">
        <f>IF(AA45&lt;Z39,0.01,IF(AA45&lt;Z40,0.1,IF(AA45&lt;Z41,1,IF(AA45&lt;Z42,10,100))))</f>
        <v>0.1</v>
      </c>
      <c r="AB49" s="25" t="s">
        <v>8</v>
      </c>
      <c r="AD49" s="25" t="s">
        <v>602</v>
      </c>
      <c r="AE49">
        <f>IF(AE45&lt;AD39,0.01,IF(AE45&lt;AD40,0.1,IF(AE45&lt;AD41,1,IF(AE45&lt;AD42,10,100))))</f>
        <v>0.1</v>
      </c>
      <c r="AF49" s="25" t="s">
        <v>8</v>
      </c>
      <c r="AH49" s="25" t="s">
        <v>602</v>
      </c>
      <c r="AI49">
        <f>IF(AI45&lt;AH39,0.01,IF(AI45&lt;AH40,0.1,IF(AI45&lt;AH41,1,IF(AI45&lt;AH42,10,100))))</f>
        <v>0.1</v>
      </c>
      <c r="AJ49" s="25" t="s">
        <v>8</v>
      </c>
      <c r="AL49" s="25" t="s">
        <v>602</v>
      </c>
      <c r="AM49">
        <f>IF(AM45&lt;AL39,0.01,IF(AM45&lt;AL40,0.1,IF(AM45&lt;AL41,1,IF(AM45&lt;AL42,10,100))))</f>
        <v>0.1</v>
      </c>
      <c r="AN49" s="25" t="s">
        <v>8</v>
      </c>
      <c r="AP49" s="25" t="s">
        <v>602</v>
      </c>
      <c r="AQ49">
        <f>IF(AQ45&lt;AP39,0.01,IF(AQ45&lt;AP40,0.1,IF(AQ45&lt;AP41,1,IF(AQ45&lt;AP42,10,100))))</f>
        <v>0.1</v>
      </c>
      <c r="AR49" s="25" t="s">
        <v>8</v>
      </c>
      <c r="AT49" s="25" t="s">
        <v>602</v>
      </c>
      <c r="AU49">
        <f>IF(AU45&lt;AT39,0.01,IF(AU45&lt;AT40,0.1,IF(AU45&lt;AT41,1,IF(AU45&lt;AT42,10,100))))</f>
        <v>0.1</v>
      </c>
      <c r="AV49" s="25" t="s">
        <v>8</v>
      </c>
      <c r="AX49" s="25" t="s">
        <v>602</v>
      </c>
      <c r="AY49">
        <f>IF(AY45&lt;AX39,0.01,IF(AY45&lt;AX40,0.1,IF(AY45&lt;AX41,1,IF(AY45&lt;AX42,10,100))))</f>
        <v>0.1</v>
      </c>
      <c r="AZ49" s="25" t="s">
        <v>8</v>
      </c>
      <c r="BB49" s="25" t="s">
        <v>602</v>
      </c>
      <c r="BC49">
        <f>IF(BC45&lt;BB39,0.01,IF(BC45&lt;BB40,0.1,IF(BC45&lt;BB41,1,IF(BC45&lt;BB42,10,100))))</f>
        <v>0.1</v>
      </c>
      <c r="BD49" s="25" t="s">
        <v>8</v>
      </c>
      <c r="BF49" s="25" t="s">
        <v>602</v>
      </c>
      <c r="BG49">
        <f>IF(BG45&lt;BF39,0.01,IF(BG45&lt;BF40,0.1,IF(BG45&lt;BF41,1,IF(BG45&lt;BF42,10,100))))</f>
        <v>0.1</v>
      </c>
      <c r="BH49" s="25" t="s">
        <v>8</v>
      </c>
      <c r="BJ49" s="25" t="s">
        <v>602</v>
      </c>
      <c r="BK49">
        <f>IF(BK45&lt;BJ39,0.01,IF(BK45&lt;BJ40,0.1,IF(BK45&lt;BJ41,1,IF(BK45&lt;BJ42,10,100))))</f>
        <v>0.1</v>
      </c>
      <c r="BL49" s="25" t="s">
        <v>8</v>
      </c>
      <c r="BN49" s="25" t="s">
        <v>602</v>
      </c>
      <c r="BO49">
        <f>IF(BO45&lt;BN39,0.01,IF(BO45&lt;BN40,0.1,IF(BO45&lt;BN41,1,IF(BO45&lt;BN42,10,100))))</f>
        <v>0.1</v>
      </c>
      <c r="BP49" s="25" t="s">
        <v>8</v>
      </c>
      <c r="BR49" s="25" t="s">
        <v>602</v>
      </c>
      <c r="BS49">
        <f>IF(BS45&lt;BR39,0.01,IF(BS45&lt;BR40,0.1,IF(BS45&lt;BR41,1,IF(BS45&lt;BR42,10,100))))</f>
        <v>0.1</v>
      </c>
      <c r="BT49" s="25" t="s">
        <v>8</v>
      </c>
      <c r="BV49" s="25" t="s">
        <v>602</v>
      </c>
      <c r="BW49">
        <f>IF(BW45&lt;BV39,0.01,IF(BW45&lt;BV40,0.1,IF(BW45&lt;BV41,1,IF(BW45&lt;BV42,10,100))))</f>
        <v>0.1</v>
      </c>
      <c r="BX49" s="25" t="s">
        <v>8</v>
      </c>
    </row>
    <row r="50" spans="2:76" x14ac:dyDescent="0.25">
      <c r="B50" s="25" t="s">
        <v>603</v>
      </c>
      <c r="C50">
        <f>LOOKUP(C49,B39:B43,C39:C43)</f>
        <v>100</v>
      </c>
      <c r="D50" s="25" t="s">
        <v>25</v>
      </c>
      <c r="F50" s="25" t="s">
        <v>603</v>
      </c>
      <c r="G50">
        <f>LOOKUP(G49,F39:F43,G39:G43)</f>
        <v>102.85714285714285</v>
      </c>
      <c r="H50" s="25" t="s">
        <v>25</v>
      </c>
      <c r="J50" s="25" t="s">
        <v>603</v>
      </c>
      <c r="K50">
        <f>LOOKUP(K49,J39:J43,K39:K43)</f>
        <v>102.85714285714285</v>
      </c>
      <c r="L50" s="25" t="s">
        <v>25</v>
      </c>
      <c r="N50" s="25" t="s">
        <v>603</v>
      </c>
      <c r="O50">
        <f>LOOKUP(O49,N39:N43,O39:O43)</f>
        <v>18.005467246568873</v>
      </c>
      <c r="P50" s="25" t="s">
        <v>25</v>
      </c>
      <c r="R50" s="25" t="s">
        <v>603</v>
      </c>
      <c r="S50">
        <f>LOOKUP(S49,R39:R43,S39:S43)</f>
        <v>137.14285714285714</v>
      </c>
      <c r="T50" s="25" t="s">
        <v>25</v>
      </c>
      <c r="V50" s="25" t="s">
        <v>603</v>
      </c>
      <c r="W50">
        <f>LOOKUP(W49,V39:V43,W39:W43)</f>
        <v>86.05714285714285</v>
      </c>
      <c r="X50" s="25" t="s">
        <v>25</v>
      </c>
      <c r="Z50" s="25" t="s">
        <v>603</v>
      </c>
      <c r="AA50">
        <f>LOOKUP(AA49,Z39:Z43,AA39:AA43)</f>
        <v>7.2919093041292484</v>
      </c>
      <c r="AB50" s="25" t="s">
        <v>25</v>
      </c>
      <c r="AD50" s="25" t="s">
        <v>603</v>
      </c>
      <c r="AE50">
        <f>LOOKUP(AE49,AD39:AD43,AE39:AE43)</f>
        <v>15.044111215513116</v>
      </c>
      <c r="AF50" s="25" t="s">
        <v>25</v>
      </c>
      <c r="AH50" s="25" t="s">
        <v>603</v>
      </c>
      <c r="AI50">
        <f>LOOKUP(AI49,AH39:AH43,AI39:AI43)</f>
        <v>30.878575813191468</v>
      </c>
      <c r="AJ50" s="25" t="s">
        <v>25</v>
      </c>
      <c r="AL50" s="25" t="s">
        <v>603</v>
      </c>
      <c r="AM50">
        <f>LOOKUP(AM49,AL39:AL43,AM39:AM43)</f>
        <v>7.6078995625440982</v>
      </c>
      <c r="AN50" s="25" t="s">
        <v>25</v>
      </c>
      <c r="AP50" s="25" t="s">
        <v>603</v>
      </c>
      <c r="AQ50">
        <f>LOOKUP(AQ49,AP39:AP43,AQ39:AQ43)</f>
        <v>16.162485293337312</v>
      </c>
      <c r="AR50" s="25" t="s">
        <v>25</v>
      </c>
      <c r="AT50" s="25" t="s">
        <v>603</v>
      </c>
      <c r="AU50">
        <f>LOOKUP(AU49,AT39:AT43,AU39:AU43)</f>
        <v>7.6861092691902142</v>
      </c>
      <c r="AV50" s="25" t="s">
        <v>25</v>
      </c>
      <c r="AX50" s="25" t="s">
        <v>603</v>
      </c>
      <c r="AY50">
        <f>LOOKUP(AY49,AX39:AX43,AY39:AY43)</f>
        <v>5.1881308976008231</v>
      </c>
      <c r="AZ50" s="25" t="s">
        <v>25</v>
      </c>
      <c r="BB50" s="25" t="s">
        <v>603</v>
      </c>
      <c r="BC50">
        <f>LOOKUP(BC49,BB39:BB43,BC39:BC43)</f>
        <v>6.4285714285714279</v>
      </c>
      <c r="BD50" s="25" t="s">
        <v>25</v>
      </c>
      <c r="BF50" s="25" t="s">
        <v>603</v>
      </c>
      <c r="BG50">
        <f>LOOKUP(BG49,BF39:BF43,BG39:BG43)</f>
        <v>7.6513551472277976</v>
      </c>
      <c r="BH50" s="25" t="s">
        <v>25</v>
      </c>
      <c r="BJ50" s="25" t="s">
        <v>603</v>
      </c>
      <c r="BK50">
        <f>LOOKUP(BK49,BJ39:BJ43,BK39:BK43)</f>
        <v>6.2451808078295281</v>
      </c>
      <c r="BL50" s="25" t="s">
        <v>25</v>
      </c>
      <c r="BN50" s="25" t="s">
        <v>603</v>
      </c>
      <c r="BO50">
        <f>LOOKUP(BO49,BN39:BN43,BO39:BO43)</f>
        <v>8.0118585322719049</v>
      </c>
      <c r="BP50" s="25" t="s">
        <v>25</v>
      </c>
      <c r="BR50" s="25" t="s">
        <v>603</v>
      </c>
      <c r="BS50">
        <f>LOOKUP(BS49,BR39:BR43,BS39:BS43)</f>
        <v>8.0147738937719577</v>
      </c>
      <c r="BT50" s="25" t="s">
        <v>25</v>
      </c>
      <c r="BV50" s="25" t="s">
        <v>603</v>
      </c>
      <c r="BW50">
        <f>LOOKUP(BW49,BV39:BV43,BW39:BW43)</f>
        <v>2.964751958346822</v>
      </c>
      <c r="BX50" s="25" t="s">
        <v>25</v>
      </c>
    </row>
    <row r="52" spans="2:76" x14ac:dyDescent="0.25">
      <c r="B52" s="25" t="s">
        <v>179</v>
      </c>
      <c r="C52">
        <f>C48/C47^C53</f>
        <v>25</v>
      </c>
      <c r="F52" s="25" t="s">
        <v>179</v>
      </c>
      <c r="G52">
        <f>G48/G47^G53</f>
        <v>26.448979591836739</v>
      </c>
      <c r="J52" s="25" t="s">
        <v>179</v>
      </c>
      <c r="K52">
        <f>K48/K47^K53</f>
        <v>26.448979591836739</v>
      </c>
      <c r="N52" s="25" t="s">
        <v>179</v>
      </c>
      <c r="O52">
        <f>O48/O47^O53</f>
        <v>0.81049212691816208</v>
      </c>
      <c r="R52" s="25" t="s">
        <v>179</v>
      </c>
      <c r="S52">
        <f>S48/S47^S53</f>
        <v>47.020408163265301</v>
      </c>
      <c r="V52" s="25" t="s">
        <v>179</v>
      </c>
      <c r="W52">
        <f>W48/W47^W53</f>
        <v>18.514579591836739</v>
      </c>
      <c r="Z52" s="25" t="s">
        <v>179</v>
      </c>
      <c r="AA52">
        <f>AA48/AA47^AA53</f>
        <v>1.8184206354744821</v>
      </c>
      <c r="AD52" s="25" t="s">
        <v>179</v>
      </c>
      <c r="AE52">
        <f>AE48/AE47^AE53</f>
        <v>0.56581320566181925</v>
      </c>
      <c r="AH52" s="25" t="s">
        <v>179</v>
      </c>
      <c r="AI52">
        <f>AI48/AI47^AI53</f>
        <v>2.3837161106275353</v>
      </c>
      <c r="AL52" s="25" t="s">
        <v>179</v>
      </c>
      <c r="AM52">
        <f>AM48/AM47^AM53</f>
        <v>1.8283882247812382</v>
      </c>
      <c r="AP52" s="25" t="s">
        <v>179</v>
      </c>
      <c r="AQ52">
        <f>AQ48/AQ47^AQ53</f>
        <v>0.65306482714336267</v>
      </c>
      <c r="AT52" s="25" t="s">
        <v>179</v>
      </c>
      <c r="AU52">
        <f>AU48/AU47^AU53</f>
        <v>1.9142733969815733</v>
      </c>
      <c r="AX52" s="25" t="s">
        <v>179</v>
      </c>
      <c r="AY52">
        <f>AY48/AY47^AY53</f>
        <v>1.0836299799163218</v>
      </c>
      <c r="BB52" s="25" t="s">
        <v>179</v>
      </c>
      <c r="BC52">
        <f>BC48/BC47^BC53</f>
        <v>1.6597400482448419</v>
      </c>
      <c r="BF52" s="25" t="s">
        <v>179</v>
      </c>
      <c r="BG52">
        <f>BG48/BG47^BG53</f>
        <v>1.4851688802343537</v>
      </c>
      <c r="BJ52" s="25" t="s">
        <v>179</v>
      </c>
      <c r="BK52">
        <f>BK48/BK47^BK53</f>
        <v>0.7343087231236578</v>
      </c>
      <c r="BN52" s="25" t="s">
        <v>179</v>
      </c>
      <c r="BO52">
        <f>BO48/BO47^BO53</f>
        <v>0.75523849060923887</v>
      </c>
      <c r="BR52" s="25" t="s">
        <v>179</v>
      </c>
      <c r="BS52">
        <f>BS48/BS47^BS53</f>
        <v>0.41177308056595241</v>
      </c>
      <c r="BV52" s="25" t="s">
        <v>179</v>
      </c>
      <c r="BW52">
        <f>BW48/BW47^BW53</f>
        <v>0.63980661932260008</v>
      </c>
    </row>
    <row r="53" spans="2:76" x14ac:dyDescent="0.25">
      <c r="B53" s="25" t="s">
        <v>180</v>
      </c>
      <c r="C53">
        <f>IF(C49=C47,0.00000000000001,LOG(C48/C50)/LOG(C47/C49))</f>
        <v>-0.6020599913279624</v>
      </c>
      <c r="F53" s="25" t="s">
        <v>180</v>
      </c>
      <c r="G53">
        <f>IF(G49=G47,0.00000000000001,LOG(G48/G50)/LOG(G47/G49))</f>
        <v>-0.5898255349109508</v>
      </c>
      <c r="J53" s="25" t="s">
        <v>180</v>
      </c>
      <c r="K53">
        <f>IF(K49=K47,0.00000000000001,LOG(K48/K50)/LOG(K47/K49))</f>
        <v>-0.5898255349109508</v>
      </c>
      <c r="N53" s="25" t="s">
        <v>180</v>
      </c>
      <c r="O53">
        <f>IF(O49=O47,0.00000000000001,LOG(O48/O50)/LOG(O47/O49))</f>
        <v>-1.3466555954194042</v>
      </c>
      <c r="R53" s="25" t="s">
        <v>180</v>
      </c>
      <c r="S53">
        <f>IF(S49=S47,0.00000000000001,LOG(S48/S50)/LOG(S47/S49))</f>
        <v>-0.46488679830265084</v>
      </c>
      <c r="V53" s="25" t="s">
        <v>180</v>
      </c>
      <c r="W53">
        <f>IF(W49=W47,0.00000000000001,LOG(W48/W50)/LOG(W47/W49))</f>
        <v>-0.6672730681495751</v>
      </c>
      <c r="Z53" s="25" t="s">
        <v>180</v>
      </c>
      <c r="AA53">
        <f>IF(AA49=AA47,0.00000000000001,LOG(AA48/AA50)/LOG(AA47/AA49))</f>
        <v>-0.60314690718767749</v>
      </c>
      <c r="AD53" s="25" t="s">
        <v>180</v>
      </c>
      <c r="AE53">
        <f>IF(AE49=AE47,0.00000000000001,LOG(AE48/AE50)/LOG(AE47/AE49))</f>
        <v>-1.4246934559883218</v>
      </c>
      <c r="AH53" s="25" t="s">
        <v>180</v>
      </c>
      <c r="AI53">
        <f>IF(AI49=AI47,0.00000000000001,LOG(AI48/AI50)/LOG(AI47/AI49))</f>
        <v>-1.1124027298046648</v>
      </c>
      <c r="AL53" s="25" t="s">
        <v>180</v>
      </c>
      <c r="AM53">
        <f>IF(AM49=AM47,0.00000000000001,LOG(AM48/AM50)/LOG(AM47/AM49))</f>
        <v>-0.61919635485241142</v>
      </c>
      <c r="AP53" s="25" t="s">
        <v>180</v>
      </c>
      <c r="AQ53">
        <f>IF(AQ49=AQ47,0.00000000000001,LOG(AQ48/AQ50)/LOG(AQ47/AQ49))</f>
        <v>-1.3935518486150948</v>
      </c>
      <c r="AT53" s="25" t="s">
        <v>180</v>
      </c>
      <c r="AU53">
        <f>IF(AU49=AU47,0.00000000000001,LOG(AU48/AU50)/LOG(AU47/AU49))</f>
        <v>-0.60370259038645391</v>
      </c>
      <c r="AX53" s="25" t="s">
        <v>180</v>
      </c>
      <c r="AY53">
        <f>IF(AY49=AY47,0.00000000000001,LOG(AY48/AY50)/LOG(AY47/AY49))</f>
        <v>-0.68012991308627868</v>
      </c>
      <c r="BB53" s="25" t="s">
        <v>180</v>
      </c>
      <c r="BC53">
        <f>IF(BC49=BC47,0.00000000000001,LOG(BC48/BC50)/LOG(BC47/BC49))</f>
        <v>-0.58807440045195436</v>
      </c>
      <c r="BF53" s="25" t="s">
        <v>180</v>
      </c>
      <c r="BG53">
        <f>IF(BG49=BG47,0.00000000000001,LOG(BG48/BG50)/LOG(BG47/BG49))</f>
        <v>-0.71196252017557904</v>
      </c>
      <c r="BJ53" s="25" t="s">
        <v>180</v>
      </c>
      <c r="BK53">
        <f>IF(BK49=BK47,0.00000000000001,LOG(BK48/BK50)/LOG(BK47/BK49))</f>
        <v>-0.92966632901956414</v>
      </c>
      <c r="BN53" s="25" t="s">
        <v>180</v>
      </c>
      <c r="BO53">
        <f>IF(BO49=BO47,0.00000000000001,LOG(BO48/BO50)/LOG(BO47/BO49))</f>
        <v>-1.0256491566215538</v>
      </c>
      <c r="BR53" s="25" t="s">
        <v>180</v>
      </c>
      <c r="BS53">
        <f>IF(BS49=BS47,0.00000000000001,LOG(BS48/BS50)/LOG(BS47/BS49))</f>
        <v>-1.2892333234512314</v>
      </c>
      <c r="BV53" s="25" t="s">
        <v>180</v>
      </c>
      <c r="BW53">
        <f>IF(BW49=BW47,0.00000000000001,LOG(BW48/BW50)/LOG(BW47/BW49))</f>
        <v>-0.66593963570220627</v>
      </c>
    </row>
    <row r="55" spans="2:76" x14ac:dyDescent="0.25">
      <c r="B55" s="25" t="s">
        <v>604</v>
      </c>
      <c r="C55">
        <f>C52*C45^C53</f>
        <v>151.80651700262385</v>
      </c>
      <c r="D55" s="25" t="s">
        <v>25</v>
      </c>
      <c r="F55" s="25" t="s">
        <v>604</v>
      </c>
      <c r="G55">
        <f>G52*G45^G53</f>
        <v>154.82492252272766</v>
      </c>
      <c r="H55" s="25" t="s">
        <v>25</v>
      </c>
      <c r="J55" s="25" t="s">
        <v>604</v>
      </c>
      <c r="K55">
        <f>K52*K45^K53</f>
        <v>154.82492252272766</v>
      </c>
      <c r="L55" s="25" t="s">
        <v>25</v>
      </c>
      <c r="N55" s="25" t="s">
        <v>604</v>
      </c>
      <c r="O55">
        <f>O52*O45^O53</f>
        <v>45.804179155970999</v>
      </c>
      <c r="P55" s="25" t="s">
        <v>25</v>
      </c>
      <c r="R55" s="25" t="s">
        <v>604</v>
      </c>
      <c r="S55">
        <f>S52*S45^S53</f>
        <v>189.30341450549375</v>
      </c>
      <c r="T55" s="25" t="s">
        <v>25</v>
      </c>
      <c r="V55" s="25" t="s">
        <v>604</v>
      </c>
      <c r="W55">
        <f>W52*W45^W53</f>
        <v>136.68287222309871</v>
      </c>
      <c r="X55" s="25" t="s">
        <v>25</v>
      </c>
      <c r="Z55" s="25" t="s">
        <v>604</v>
      </c>
      <c r="AA55">
        <f>AA52*AA45^AA53</f>
        <v>11.077938838890482</v>
      </c>
      <c r="AB55" s="25" t="s">
        <v>25</v>
      </c>
      <c r="AD55" s="25" t="s">
        <v>604</v>
      </c>
      <c r="AE55">
        <f>AE52*AE45^AE53</f>
        <v>40.398548359761776</v>
      </c>
      <c r="AF55" s="25" t="s">
        <v>25</v>
      </c>
      <c r="AH55" s="25" t="s">
        <v>604</v>
      </c>
      <c r="AI55">
        <f>AI52*AI45^AI53</f>
        <v>66.776012561482602</v>
      </c>
      <c r="AJ55" s="25" t="s">
        <v>25</v>
      </c>
      <c r="AL55" s="25" t="s">
        <v>604</v>
      </c>
      <c r="AM55">
        <f>AM52*AM45^AM53</f>
        <v>11.68732805731605</v>
      </c>
      <c r="AN55" s="25" t="s">
        <v>25</v>
      </c>
      <c r="AP55" s="25" t="s">
        <v>604</v>
      </c>
      <c r="AQ55">
        <f>AQ52*AQ45^AQ53</f>
        <v>42.474678877076528</v>
      </c>
      <c r="AR55" s="25" t="s">
        <v>25</v>
      </c>
      <c r="AT55" s="25" t="s">
        <v>604</v>
      </c>
      <c r="AU55">
        <f>AU52*AU45^AU53</f>
        <v>11.681310946953413</v>
      </c>
      <c r="AV55" s="25" t="s">
        <v>25</v>
      </c>
      <c r="AX55" s="25" t="s">
        <v>604</v>
      </c>
      <c r="AY55">
        <f>AY52*AY45^AY53</f>
        <v>8.3139902510366159</v>
      </c>
      <c r="AZ55" s="25" t="s">
        <v>25</v>
      </c>
      <c r="BB55" s="25" t="s">
        <v>604</v>
      </c>
      <c r="BC55">
        <f>BC52*BC45^BC53</f>
        <v>9.6648160510008871</v>
      </c>
      <c r="BD55" s="25" t="s">
        <v>25</v>
      </c>
      <c r="BF55" s="25" t="s">
        <v>604</v>
      </c>
      <c r="BG55">
        <f>BG52*BG45^BG53</f>
        <v>12.534940637362061</v>
      </c>
      <c r="BH55" s="25" t="s">
        <v>25</v>
      </c>
      <c r="BJ55" s="25" t="s">
        <v>604</v>
      </c>
      <c r="BK55">
        <f>BK52*BK45^BK53</f>
        <v>11.898253709593826</v>
      </c>
      <c r="BL55" s="25" t="s">
        <v>25</v>
      </c>
      <c r="BN55" s="25" t="s">
        <v>604</v>
      </c>
      <c r="BO55">
        <f>BO52*BO45^BO53</f>
        <v>16.314491014606087</v>
      </c>
      <c r="BP55" s="25" t="s">
        <v>25</v>
      </c>
      <c r="BR55" s="25" t="s">
        <v>604</v>
      </c>
      <c r="BS55">
        <f>BS52*BS45^BS53</f>
        <v>19.593010411289491</v>
      </c>
      <c r="BT55" s="25" t="s">
        <v>25</v>
      </c>
      <c r="BV55" s="25" t="s">
        <v>604</v>
      </c>
      <c r="BW55">
        <f>BW52*BW45^BW53</f>
        <v>4.704505914027556</v>
      </c>
      <c r="BX55" s="25" t="s">
        <v>25</v>
      </c>
    </row>
    <row r="56" spans="2:76" x14ac:dyDescent="0.25">
      <c r="B56" s="25" t="s">
        <v>605</v>
      </c>
      <c r="C56">
        <f>C55*VINMAX</f>
        <v>10626.45619018367</v>
      </c>
      <c r="D56" s="25" t="s">
        <v>87</v>
      </c>
      <c r="F56" s="25" t="s">
        <v>605</v>
      </c>
      <c r="G56">
        <f>G55*VINMAX</f>
        <v>10837.744576590936</v>
      </c>
      <c r="H56" s="25" t="s">
        <v>87</v>
      </c>
      <c r="J56" s="25" t="s">
        <v>605</v>
      </c>
      <c r="K56">
        <f>K55*VINMAX</f>
        <v>10837.744576590936</v>
      </c>
      <c r="L56" s="25" t="s">
        <v>87</v>
      </c>
      <c r="N56" s="25" t="s">
        <v>605</v>
      </c>
      <c r="O56">
        <f>O55*VINMAX</f>
        <v>3206.2925409179697</v>
      </c>
      <c r="P56" s="25" t="s">
        <v>87</v>
      </c>
      <c r="R56" s="25" t="s">
        <v>605</v>
      </c>
      <c r="S56">
        <f>S55*VINMAX</f>
        <v>13251.239015384563</v>
      </c>
      <c r="T56" s="25" t="s">
        <v>87</v>
      </c>
      <c r="V56" s="25" t="s">
        <v>605</v>
      </c>
      <c r="W56">
        <f>W55*VINMAX</f>
        <v>9567.8010556169102</v>
      </c>
      <c r="X56" s="25" t="s">
        <v>87</v>
      </c>
      <c r="Z56" s="25" t="s">
        <v>605</v>
      </c>
      <c r="AA56">
        <f>AA55*VINMAX</f>
        <v>775.4557187223337</v>
      </c>
      <c r="AB56" s="25" t="s">
        <v>87</v>
      </c>
      <c r="AD56" s="25" t="s">
        <v>605</v>
      </c>
      <c r="AE56">
        <f>AE55*VINMAX</f>
        <v>2827.8983851833245</v>
      </c>
      <c r="AF56" s="25" t="s">
        <v>87</v>
      </c>
      <c r="AH56" s="25" t="s">
        <v>605</v>
      </c>
      <c r="AI56">
        <f>AI55*VINMAX</f>
        <v>4674.320879303782</v>
      </c>
      <c r="AJ56" s="25" t="s">
        <v>87</v>
      </c>
      <c r="AL56" s="25" t="s">
        <v>605</v>
      </c>
      <c r="AM56">
        <f>AM55*VINMAX</f>
        <v>818.11296401212348</v>
      </c>
      <c r="AN56" s="25" t="s">
        <v>87</v>
      </c>
      <c r="AP56" s="25" t="s">
        <v>605</v>
      </c>
      <c r="AQ56">
        <f>AQ55*VINMAX</f>
        <v>2973.2275213953571</v>
      </c>
      <c r="AR56" s="25" t="s">
        <v>87</v>
      </c>
      <c r="AT56" s="25" t="s">
        <v>605</v>
      </c>
      <c r="AU56">
        <f>AU55*VINMAX</f>
        <v>817.69176628673893</v>
      </c>
      <c r="AV56" s="25" t="s">
        <v>87</v>
      </c>
      <c r="AX56" s="25" t="s">
        <v>605</v>
      </c>
      <c r="AY56">
        <f>AY55*VINMAX</f>
        <v>581.9793175725631</v>
      </c>
      <c r="AZ56" s="25" t="s">
        <v>87</v>
      </c>
      <c r="BB56" s="25" t="s">
        <v>605</v>
      </c>
      <c r="BC56">
        <f>BC55*VINMAX</f>
        <v>676.53712357006214</v>
      </c>
      <c r="BD56" s="25" t="s">
        <v>87</v>
      </c>
      <c r="BF56" s="25" t="s">
        <v>605</v>
      </c>
      <c r="BG56">
        <f>BG55*VINMAX</f>
        <v>877.4458446153443</v>
      </c>
      <c r="BH56" s="25" t="s">
        <v>87</v>
      </c>
      <c r="BJ56" s="25" t="s">
        <v>605</v>
      </c>
      <c r="BK56">
        <f>BK55*VINMAX</f>
        <v>832.87775967156779</v>
      </c>
      <c r="BL56" s="25" t="s">
        <v>87</v>
      </c>
      <c r="BN56" s="25" t="s">
        <v>605</v>
      </c>
      <c r="BO56">
        <f>BO55*VINMAX</f>
        <v>1142.0143710224261</v>
      </c>
      <c r="BP56" s="25" t="s">
        <v>87</v>
      </c>
      <c r="BR56" s="25" t="s">
        <v>605</v>
      </c>
      <c r="BS56">
        <f>BS55*VINMAX</f>
        <v>1371.5107287902645</v>
      </c>
      <c r="BT56" s="25" t="s">
        <v>87</v>
      </c>
      <c r="BV56" s="25" t="s">
        <v>605</v>
      </c>
      <c r="BW56">
        <f>BW55*VINMAX</f>
        <v>329.31541398192894</v>
      </c>
      <c r="BX56" s="25" t="s">
        <v>87</v>
      </c>
    </row>
    <row r="58" spans="2:76" x14ac:dyDescent="0.25">
      <c r="B58" s="25" t="s">
        <v>606</v>
      </c>
      <c r="C58">
        <f>(C6-C34)/(C6-25)</f>
        <v>0.7</v>
      </c>
      <c r="F58" s="25" t="s">
        <v>606</v>
      </c>
      <c r="G58">
        <f>(G6-G34)/(G6-25)</f>
        <v>0.69679999999999997</v>
      </c>
      <c r="J58" s="25" t="s">
        <v>606</v>
      </c>
      <c r="K58">
        <f>(K6-K34)/(K6-25)</f>
        <v>0.66133333333333333</v>
      </c>
      <c r="N58" s="25" t="s">
        <v>606</v>
      </c>
      <c r="O58">
        <f>(O6-O34)/(O6-25)</f>
        <v>0.64413333333333322</v>
      </c>
      <c r="R58" s="25" t="s">
        <v>606</v>
      </c>
      <c r="S58">
        <f>(S6-S34)/(S6-25)</f>
        <v>0.69277777777777783</v>
      </c>
      <c r="V58" s="25" t="s">
        <v>606</v>
      </c>
      <c r="W58">
        <f>(W6-W34)/(W6-25)</f>
        <v>0.64388888888888884</v>
      </c>
      <c r="Z58" s="25" t="s">
        <v>606</v>
      </c>
      <c r="AA58">
        <f>(AA6-AA34)/(AA6-25)</f>
        <v>0.61583673469387756</v>
      </c>
      <c r="AD58" s="25" t="s">
        <v>606</v>
      </c>
      <c r="AE58">
        <f>(AE6-AE34)/(AE6-25)</f>
        <v>0.60710204081632646</v>
      </c>
      <c r="AH58" s="25" t="s">
        <v>606</v>
      </c>
      <c r="AI58">
        <f>(AI6-AI34)/(AI6-25)</f>
        <v>0.65238095238095239</v>
      </c>
      <c r="AL58" s="25" t="s">
        <v>606</v>
      </c>
      <c r="AM58">
        <f>(AM6-AM34)/(AM6-25)</f>
        <v>0.57408163265306122</v>
      </c>
      <c r="AP58" s="25" t="s">
        <v>606</v>
      </c>
      <c r="AQ58">
        <f>(AQ6-AQ34)/(AQ6-25)</f>
        <v>0.64190476190476187</v>
      </c>
      <c r="AT58" s="25" t="s">
        <v>606</v>
      </c>
      <c r="AU58">
        <f>(AU6-AU34)/(AU6-25)</f>
        <v>0.60450000000000004</v>
      </c>
      <c r="AX58" s="25" t="s">
        <v>606</v>
      </c>
      <c r="AY58">
        <f>(AY6-AY34)/(AY6-25)</f>
        <v>0.60187654320987649</v>
      </c>
      <c r="BB58" s="25" t="s">
        <v>606</v>
      </c>
      <c r="BC58">
        <f>(BC6-BC34)/(BC6-25)</f>
        <v>0.65271604938271599</v>
      </c>
      <c r="BF58" s="25" t="s">
        <v>606</v>
      </c>
      <c r="BG58">
        <f>(BG6-BG34)/(BG6-25)</f>
        <v>0.56661728395061728</v>
      </c>
      <c r="BJ58" s="25" t="s">
        <v>606</v>
      </c>
      <c r="BK58">
        <f>(BK6-BK34)/(BK6-25)</f>
        <v>0.65465564738292015</v>
      </c>
      <c r="BN58" s="25" t="s">
        <v>606</v>
      </c>
      <c r="BO58">
        <f>(BO6-BO34)/(BO6-25)</f>
        <v>0.579702479338843</v>
      </c>
      <c r="BR58" s="25" t="s">
        <v>606</v>
      </c>
      <c r="BS58">
        <f>(BS6-BS34)/(BS6-25)</f>
        <v>0.58236363636363642</v>
      </c>
      <c r="BV58" s="25" t="s">
        <v>606</v>
      </c>
      <c r="BW58">
        <f>(BW6-BW34)/(BW6-25)</f>
        <v>0.58307692307692305</v>
      </c>
    </row>
    <row r="59" spans="2:76" x14ac:dyDescent="0.25">
      <c r="B59" s="25" t="s">
        <v>607</v>
      </c>
      <c r="C59">
        <f>C58*C56</f>
        <v>7438.5193331285682</v>
      </c>
      <c r="D59" s="25" t="s">
        <v>87</v>
      </c>
      <c r="F59" s="25" t="s">
        <v>607</v>
      </c>
      <c r="G59">
        <f>G58*G56</f>
        <v>7551.7404209685637</v>
      </c>
      <c r="H59" s="25" t="s">
        <v>87</v>
      </c>
      <c r="J59" s="25" t="s">
        <v>607</v>
      </c>
      <c r="K59">
        <f>K58*K56</f>
        <v>7167.3617466521391</v>
      </c>
      <c r="L59" s="25" t="s">
        <v>87</v>
      </c>
      <c r="N59" s="25" t="s">
        <v>607</v>
      </c>
      <c r="O59">
        <f>O58*O56</f>
        <v>2065.2799020232947</v>
      </c>
      <c r="P59" s="25" t="s">
        <v>87</v>
      </c>
      <c r="R59" s="25" t="s">
        <v>607</v>
      </c>
      <c r="S59">
        <f>S58*S56</f>
        <v>9180.1639178803052</v>
      </c>
      <c r="T59" s="25" t="s">
        <v>87</v>
      </c>
      <c r="V59" s="25" t="s">
        <v>607</v>
      </c>
      <c r="W59">
        <f>W58*W56</f>
        <v>6160.6007908111096</v>
      </c>
      <c r="X59" s="25" t="s">
        <v>87</v>
      </c>
      <c r="Z59" s="25" t="s">
        <v>607</v>
      </c>
      <c r="AA59">
        <f>AA58*AA56</f>
        <v>477.55411771765597</v>
      </c>
      <c r="AB59" s="25" t="s">
        <v>87</v>
      </c>
      <c r="AD59" s="25" t="s">
        <v>607</v>
      </c>
      <c r="AE59">
        <f>AE58*AE56</f>
        <v>1716.8228808659903</v>
      </c>
      <c r="AF59" s="25" t="s">
        <v>87</v>
      </c>
      <c r="AH59" s="25" t="s">
        <v>607</v>
      </c>
      <c r="AI59">
        <f>AI58*AI56</f>
        <v>3049.4379069743723</v>
      </c>
      <c r="AJ59" s="25" t="s">
        <v>87</v>
      </c>
      <c r="AL59" s="25" t="s">
        <v>607</v>
      </c>
      <c r="AM59">
        <f>AM58*AM56</f>
        <v>469.66362607471495</v>
      </c>
      <c r="AN59" s="25" t="s">
        <v>87</v>
      </c>
      <c r="AP59" s="25" t="s">
        <v>607</v>
      </c>
      <c r="AQ59">
        <f>AQ58*AQ56</f>
        <v>1908.5289042099721</v>
      </c>
      <c r="AR59" s="25" t="s">
        <v>87</v>
      </c>
      <c r="AT59" s="25" t="s">
        <v>607</v>
      </c>
      <c r="AU59">
        <f>AU58*AU56</f>
        <v>494.29467272033372</v>
      </c>
      <c r="AV59" s="25" t="s">
        <v>87</v>
      </c>
      <c r="AX59" s="25" t="s">
        <v>607</v>
      </c>
      <c r="AY59">
        <f>AY58*AY56</f>
        <v>350.27969988021721</v>
      </c>
      <c r="AZ59" s="25" t="s">
        <v>87</v>
      </c>
      <c r="BB59" s="25" t="s">
        <v>607</v>
      </c>
      <c r="BC59">
        <f>BC58*BC56</f>
        <v>441.58663855739729</v>
      </c>
      <c r="BD59" s="25" t="s">
        <v>87</v>
      </c>
      <c r="BF59" s="25" t="s">
        <v>607</v>
      </c>
      <c r="BG59">
        <f>BG58*BG56</f>
        <v>497.17598128970172</v>
      </c>
      <c r="BH59" s="25" t="s">
        <v>87</v>
      </c>
      <c r="BJ59" s="25" t="s">
        <v>607</v>
      </c>
      <c r="BK59">
        <f>BK58*BK56</f>
        <v>545.24812894862634</v>
      </c>
      <c r="BL59" s="25" t="s">
        <v>87</v>
      </c>
      <c r="BN59" s="25" t="s">
        <v>607</v>
      </c>
      <c r="BO59">
        <f>BO58*BO56</f>
        <v>662.02856232228976</v>
      </c>
      <c r="BP59" s="25" t="s">
        <v>87</v>
      </c>
      <c r="BR59" s="25" t="s">
        <v>607</v>
      </c>
      <c r="BS59">
        <f>BS58*BS56</f>
        <v>798.71797533003951</v>
      </c>
      <c r="BT59" s="25" t="s">
        <v>87</v>
      </c>
      <c r="BV59" s="25" t="s">
        <v>607</v>
      </c>
      <c r="BW59">
        <f>BW58*BW56</f>
        <v>192.01621830638626</v>
      </c>
      <c r="BX59" s="25" t="s">
        <v>87</v>
      </c>
    </row>
    <row r="61" spans="2:76" x14ac:dyDescent="0.25">
      <c r="B61" s="25" t="s">
        <v>608</v>
      </c>
      <c r="C61">
        <f>C59/'Design Calculator'!F52</f>
        <v>1.9996019712711208</v>
      </c>
      <c r="F61" s="25" t="s">
        <v>608</v>
      </c>
      <c r="G61">
        <f>G59/'Design Calculator'!F52</f>
        <v>2.0300377475721949</v>
      </c>
      <c r="J61" s="25" t="s">
        <v>608</v>
      </c>
      <c r="K61">
        <f>K59/'Design Calculator'!F52</f>
        <v>1.9267101469495</v>
      </c>
      <c r="N61" s="25" t="s">
        <v>608</v>
      </c>
      <c r="O61">
        <f>O59/'Design Calculator'!F52</f>
        <v>0.55518276936110078</v>
      </c>
      <c r="R61" s="25" t="s">
        <v>608</v>
      </c>
      <c r="S61">
        <f>S59/'Design Calculator'!F52</f>
        <v>2.4677859994301898</v>
      </c>
      <c r="V61" s="25" t="s">
        <v>608</v>
      </c>
      <c r="W61">
        <f>W59/'Design Calculator'!F52</f>
        <v>1.656075481400836</v>
      </c>
      <c r="Z61" s="25" t="s">
        <v>608</v>
      </c>
      <c r="AA61">
        <f>AA59/'Design Calculator'!F52</f>
        <v>0.12837476282732688</v>
      </c>
      <c r="AD61" s="25" t="s">
        <v>608</v>
      </c>
      <c r="AE61">
        <f>AE59/'Design Calculator'!F52</f>
        <v>0.4615115271145136</v>
      </c>
      <c r="AH61" s="25" t="s">
        <v>608</v>
      </c>
      <c r="AI61">
        <f>AI59/'Design Calculator'!F52</f>
        <v>0.81974137284257331</v>
      </c>
      <c r="AL61" s="25" t="s">
        <v>608</v>
      </c>
      <c r="AM61">
        <f>AM59/'Design Calculator'!F52</f>
        <v>0.1262536629233105</v>
      </c>
      <c r="AP61" s="25" t="s">
        <v>608</v>
      </c>
      <c r="AQ61">
        <f>AQ59/'Design Calculator'!F52</f>
        <v>0.51304540435751944</v>
      </c>
      <c r="AT61" s="25" t="s">
        <v>608</v>
      </c>
      <c r="AU61">
        <f>AU59/'Design Calculator'!F52</f>
        <v>0.1328749120215951</v>
      </c>
      <c r="AX61" s="25" t="s">
        <v>608</v>
      </c>
      <c r="AY61">
        <f>AY59/'Design Calculator'!F52</f>
        <v>9.4161209645219693E-2</v>
      </c>
      <c r="BB61" s="25" t="s">
        <v>608</v>
      </c>
      <c r="BC61">
        <f>BC59/'Design Calculator'!F52</f>
        <v>0.11870608563370896</v>
      </c>
      <c r="BF61" s="25" t="s">
        <v>608</v>
      </c>
      <c r="BG61">
        <f>BG59/'Design Calculator'!F52</f>
        <v>0.13364945733594133</v>
      </c>
      <c r="BJ61" s="25" t="s">
        <v>608</v>
      </c>
      <c r="BK61">
        <f>BK59/'Design Calculator'!F52</f>
        <v>0.14657207767436195</v>
      </c>
      <c r="BN61" s="25" t="s">
        <v>608</v>
      </c>
      <c r="BO61">
        <f>BO59/'Design Calculator'!F52</f>
        <v>0.17796466729093813</v>
      </c>
      <c r="BR61" s="25" t="s">
        <v>608</v>
      </c>
      <c r="BS61">
        <f>BS59/'Design Calculator'!F52</f>
        <v>0.21470913315323645</v>
      </c>
      <c r="BV61" s="25" t="s">
        <v>608</v>
      </c>
      <c r="BW61">
        <f>BW59/'Design Calculator'!F52</f>
        <v>5.1617262985587713E-2</v>
      </c>
    </row>
    <row r="63" spans="2:76" x14ac:dyDescent="0.25">
      <c r="B63" s="25" t="s">
        <v>609</v>
      </c>
      <c r="C63">
        <f>IF(C61&gt;1.3,1,0)</f>
        <v>1</v>
      </c>
      <c r="F63" s="25" t="s">
        <v>609</v>
      </c>
      <c r="G63">
        <f>IF(G61&gt;1.3,1,0)</f>
        <v>1</v>
      </c>
      <c r="J63" s="25" t="s">
        <v>609</v>
      </c>
      <c r="K63">
        <f>IF(K61&gt;1.3,1,0)</f>
        <v>1</v>
      </c>
      <c r="N63" s="25" t="s">
        <v>609</v>
      </c>
      <c r="O63">
        <f>IF(O61&gt;1.3,1,0)</f>
        <v>0</v>
      </c>
      <c r="R63" s="25" t="s">
        <v>609</v>
      </c>
      <c r="S63">
        <f>IF(S61&gt;1.3,1,0)</f>
        <v>1</v>
      </c>
      <c r="V63" s="25" t="s">
        <v>609</v>
      </c>
      <c r="W63">
        <f>IF(W61&gt;1.3,1,0)</f>
        <v>1</v>
      </c>
      <c r="Z63" s="25" t="s">
        <v>609</v>
      </c>
      <c r="AA63">
        <f>IF(AA61&gt;1.3,1,0)</f>
        <v>0</v>
      </c>
      <c r="AD63" s="25" t="s">
        <v>609</v>
      </c>
      <c r="AE63">
        <f>IF(AE61&gt;1.3,1,0)</f>
        <v>0</v>
      </c>
      <c r="AH63" s="25" t="s">
        <v>609</v>
      </c>
      <c r="AI63">
        <f>IF(AI61&gt;1.3,1,0)</f>
        <v>0</v>
      </c>
      <c r="AL63" s="25" t="s">
        <v>609</v>
      </c>
      <c r="AM63">
        <f>IF(AM61&gt;1.3,1,0)</f>
        <v>0</v>
      </c>
      <c r="AP63" s="25" t="s">
        <v>609</v>
      </c>
      <c r="AQ63">
        <f>IF(AQ61&gt;1.3,1,0)</f>
        <v>0</v>
      </c>
      <c r="AT63" s="25" t="s">
        <v>609</v>
      </c>
      <c r="AU63">
        <f>IF(AU61&gt;1.3,1,0)</f>
        <v>0</v>
      </c>
      <c r="AX63" s="25" t="s">
        <v>609</v>
      </c>
      <c r="AY63">
        <f>IF(AY61&gt;1.3,1,0)</f>
        <v>0</v>
      </c>
      <c r="BB63" s="25" t="s">
        <v>609</v>
      </c>
      <c r="BC63">
        <f>IF(BC61&gt;1.3,1,0)</f>
        <v>0</v>
      </c>
      <c r="BF63" s="25" t="s">
        <v>609</v>
      </c>
      <c r="BG63">
        <f>IF(BG61&gt;1.3,1,0)</f>
        <v>0</v>
      </c>
      <c r="BJ63" s="25" t="s">
        <v>609</v>
      </c>
      <c r="BK63">
        <f>IF(BK61&gt;1.3,1,0)</f>
        <v>0</v>
      </c>
      <c r="BN63" s="25" t="s">
        <v>609</v>
      </c>
      <c r="BO63">
        <f>IF(BO61&gt;1.3,1,0)</f>
        <v>0</v>
      </c>
      <c r="BR63" s="25" t="s">
        <v>609</v>
      </c>
      <c r="BS63">
        <f>IF(BS61&gt;1.3,1,0)</f>
        <v>0</v>
      </c>
      <c r="BV63" s="25" t="s">
        <v>609</v>
      </c>
      <c r="BW63">
        <f>IF(BW61&gt;1.3,1,0)</f>
        <v>0</v>
      </c>
    </row>
    <row r="64" spans="2:76" x14ac:dyDescent="0.25">
      <c r="C64">
        <f>COLUMN()</f>
        <v>3</v>
      </c>
      <c r="G64">
        <f>COLUMN()</f>
        <v>7</v>
      </c>
      <c r="K64">
        <f>COLUMN()</f>
        <v>11</v>
      </c>
      <c r="O64">
        <f>COLUMN()</f>
        <v>15</v>
      </c>
      <c r="S64">
        <f>COLUMN()</f>
        <v>19</v>
      </c>
      <c r="W64">
        <f>COLUMN()</f>
        <v>23</v>
      </c>
      <c r="AA64">
        <f>COLUMN()</f>
        <v>27</v>
      </c>
      <c r="AE64">
        <f>COLUMN()</f>
        <v>31</v>
      </c>
      <c r="AI64">
        <f>COLUMN()</f>
        <v>35</v>
      </c>
      <c r="AM64">
        <f>COLUMN()</f>
        <v>39</v>
      </c>
      <c r="AQ64">
        <f>COLUMN()</f>
        <v>43</v>
      </c>
      <c r="AU64">
        <f>COLUMN()</f>
        <v>47</v>
      </c>
      <c r="AY64">
        <f>COLUMN()</f>
        <v>51</v>
      </c>
      <c r="BC64">
        <f>COLUMN()</f>
        <v>55</v>
      </c>
      <c r="BG64">
        <f>COLUMN()</f>
        <v>59</v>
      </c>
      <c r="BK64">
        <f>COLUMN()</f>
        <v>63</v>
      </c>
      <c r="BO64">
        <f>COLUMN()</f>
        <v>67</v>
      </c>
      <c r="BS64">
        <f>COLUMN()</f>
        <v>71</v>
      </c>
      <c r="BW64">
        <f>COLUMN()</f>
        <v>75</v>
      </c>
    </row>
    <row r="67" spans="2:12" x14ac:dyDescent="0.25">
      <c r="B67" s="25" t="s">
        <v>610</v>
      </c>
      <c r="C67" t="str">
        <f>LEFT('Design Calculator'!F54,FIND(" ",'Design Calculator'!F54)-1)</f>
        <v>CSD19536KTT</v>
      </c>
      <c r="F67" s="25" t="s">
        <v>611</v>
      </c>
      <c r="G67" t="str">
        <f>LEFT('Design Calculator'!G54,FIND(" ",'Design Calculator'!G54)-1)</f>
        <v>CSD19535KTT</v>
      </c>
      <c r="J67" s="25" t="s">
        <v>612</v>
      </c>
      <c r="K67" t="str">
        <f>B4</f>
        <v>NON-TI MOSFET</v>
      </c>
    </row>
    <row r="68" spans="2:12" x14ac:dyDescent="0.25">
      <c r="B68" s="25" t="s">
        <v>613</v>
      </c>
      <c r="C68" t="e">
        <f>MATCH(SFET24_1,B4:BV4,0)+2</f>
        <v>#N/A</v>
      </c>
      <c r="F68" s="25" t="s">
        <v>613</v>
      </c>
      <c r="G68" t="e">
        <f>MATCH(SFET24_2,B4:BV4,0)+2</f>
        <v>#N/A</v>
      </c>
      <c r="J68" s="25" t="s">
        <v>613</v>
      </c>
      <c r="K68">
        <f>COLUMN(C:C)</f>
        <v>3</v>
      </c>
    </row>
    <row r="70" spans="2:12" x14ac:dyDescent="0.25">
      <c r="B70">
        <v>0.01</v>
      </c>
      <c r="C70" t="e">
        <f ca="1">INDIRECT(ADDRESS(39,C68))</f>
        <v>#N/A</v>
      </c>
      <c r="D70" s="25" t="s">
        <v>25</v>
      </c>
      <c r="F70">
        <v>0.01</v>
      </c>
      <c r="G70" t="e">
        <f ca="1">INDIRECT(ADDRESS(39,G68))</f>
        <v>#N/A</v>
      </c>
      <c r="H70" s="25" t="s">
        <v>25</v>
      </c>
      <c r="J70">
        <v>0.01</v>
      </c>
      <c r="K70">
        <f ca="1">INDIRECT(ADDRESS(39,K68))</f>
        <v>400</v>
      </c>
      <c r="L70" s="25" t="s">
        <v>25</v>
      </c>
    </row>
    <row r="71" spans="2:12" x14ac:dyDescent="0.25">
      <c r="B71">
        <v>0.1</v>
      </c>
      <c r="C71" t="e">
        <f ca="1">INDIRECT(ADDRESS(40,C68))</f>
        <v>#N/A</v>
      </c>
      <c r="D71" s="25" t="s">
        <v>25</v>
      </c>
      <c r="F71">
        <v>0.1</v>
      </c>
      <c r="G71" t="e">
        <f ca="1">INDIRECT(ADDRESS(40,G68))</f>
        <v>#N/A</v>
      </c>
      <c r="H71" s="25" t="s">
        <v>25</v>
      </c>
      <c r="J71">
        <v>0.1</v>
      </c>
      <c r="K71">
        <f ca="1">INDIRECT(ADDRESS(40,K68))</f>
        <v>100</v>
      </c>
      <c r="L71" s="25" t="s">
        <v>25</v>
      </c>
    </row>
    <row r="72" spans="2:12" x14ac:dyDescent="0.25">
      <c r="B72">
        <v>1</v>
      </c>
      <c r="C72" s="25" t="e">
        <f ca="1">INDIRECT(ADDRESS(41,C68))</f>
        <v>#N/A</v>
      </c>
      <c r="D72" s="25" t="s">
        <v>25</v>
      </c>
      <c r="F72">
        <v>1</v>
      </c>
      <c r="G72" s="25" t="e">
        <f ca="1">INDIRECT(ADDRESS(41,G68))</f>
        <v>#N/A</v>
      </c>
      <c r="H72" s="25" t="s">
        <v>25</v>
      </c>
      <c r="J72">
        <v>1</v>
      </c>
      <c r="K72">
        <f ca="1">INDIRECT(ADDRESS(41,K68))</f>
        <v>20</v>
      </c>
      <c r="L72" s="25" t="s">
        <v>25</v>
      </c>
    </row>
    <row r="73" spans="2:12" x14ac:dyDescent="0.25">
      <c r="B73">
        <v>10</v>
      </c>
      <c r="C73" t="e">
        <f ca="1">INDIRECT(ADDRESS(42,C68))</f>
        <v>#N/A</v>
      </c>
      <c r="D73" s="25" t="s">
        <v>25</v>
      </c>
      <c r="F73">
        <v>10</v>
      </c>
      <c r="G73" t="e">
        <f ca="1">INDIRECT(ADDRESS(42,G68))</f>
        <v>#N/A</v>
      </c>
      <c r="H73" s="25" t="s">
        <v>25</v>
      </c>
      <c r="J73">
        <v>10</v>
      </c>
      <c r="K73">
        <f ca="1">INDIRECT(ADDRESS(42,K68))</f>
        <v>5</v>
      </c>
      <c r="L73" s="25" t="s">
        <v>25</v>
      </c>
    </row>
    <row r="74" spans="2:12" x14ac:dyDescent="0.25">
      <c r="B74">
        <v>100</v>
      </c>
      <c r="C74" t="e">
        <f ca="1">INDIRECT(ADDRESS(43,C68))</f>
        <v>#N/A</v>
      </c>
      <c r="D74" s="25" t="s">
        <v>25</v>
      </c>
      <c r="F74">
        <v>100</v>
      </c>
      <c r="G74" t="e">
        <f ca="1">INDIRECT(ADDRESS(43,G68))</f>
        <v>#N/A</v>
      </c>
      <c r="H74" s="25" t="s">
        <v>25</v>
      </c>
      <c r="J74">
        <v>100</v>
      </c>
      <c r="K74">
        <f ca="1">INDIRECT(ADDRESS(43,K68))</f>
        <v>1</v>
      </c>
      <c r="L74" s="25" t="s">
        <v>25</v>
      </c>
    </row>
    <row r="76" spans="2:12" x14ac:dyDescent="0.25">
      <c r="B76" t="s">
        <v>614</v>
      </c>
      <c r="C76" t="e">
        <f ca="1">INDIRECT(ADDRESS(33,C68))</f>
        <v>#N/A</v>
      </c>
      <c r="D76" t="s">
        <v>87</v>
      </c>
      <c r="F76" t="s">
        <v>614</v>
      </c>
      <c r="G76" t="e">
        <f ca="1">INDIRECT(ADDRESS(33,G68))</f>
        <v>#N/A</v>
      </c>
      <c r="H76" t="s">
        <v>87</v>
      </c>
      <c r="J76" s="242" t="s">
        <v>614</v>
      </c>
      <c r="K76">
        <f ca="1">INDIRECT(ADDRESS(33,K68))</f>
        <v>0.2</v>
      </c>
      <c r="L76" t="s">
        <v>87</v>
      </c>
    </row>
    <row r="77" spans="2:12" x14ac:dyDescent="0.25">
      <c r="B77" t="s">
        <v>593</v>
      </c>
      <c r="C77" t="e">
        <f ca="1">INDIRECT(ADDRESS(32,C68))</f>
        <v>#N/A</v>
      </c>
      <c r="F77" t="s">
        <v>593</v>
      </c>
      <c r="G77" t="e">
        <f ca="1">INDIRECT(ADDRESS(32,G68))</f>
        <v>#N/A</v>
      </c>
      <c r="J77" s="25" t="s">
        <v>593</v>
      </c>
      <c r="K77">
        <f ca="1">INDIRECT(ADDRESS(32,K68))</f>
        <v>5</v>
      </c>
    </row>
    <row r="78" spans="2:12" ht="13.8" x14ac:dyDescent="0.3">
      <c r="B78" t="s">
        <v>163</v>
      </c>
      <c r="C78" s="25" t="e">
        <f ca="1">INDIRECT(ADDRESS(34,C68))</f>
        <v>#N/A</v>
      </c>
      <c r="D78" s="25" t="s">
        <v>554</v>
      </c>
      <c r="F78" t="s">
        <v>163</v>
      </c>
      <c r="G78" s="25" t="e">
        <f ca="1">INDIRECT(ADDRESS(34,G68))</f>
        <v>#N/A</v>
      </c>
      <c r="H78" s="25" t="s">
        <v>554</v>
      </c>
      <c r="J78" s="25" t="s">
        <v>163</v>
      </c>
      <c r="K78" s="25">
        <f ca="1">INDIRECT(ADDRESS(34,K68))</f>
        <v>70</v>
      </c>
      <c r="L78" s="25" t="s">
        <v>554</v>
      </c>
    </row>
    <row r="79" spans="2:12" ht="13.8" x14ac:dyDescent="0.3">
      <c r="B79" t="s">
        <v>553</v>
      </c>
      <c r="C79" t="e">
        <f ca="1">INDIRECT(ADDRESS(6,C68))</f>
        <v>#N/A</v>
      </c>
      <c r="D79" s="25" t="s">
        <v>554</v>
      </c>
      <c r="F79" t="s">
        <v>553</v>
      </c>
      <c r="G79" t="e">
        <f ca="1">INDIRECT(ADDRESS(6,G68))</f>
        <v>#N/A</v>
      </c>
      <c r="H79" s="25" t="s">
        <v>554</v>
      </c>
      <c r="J79" t="s">
        <v>553</v>
      </c>
      <c r="K79">
        <f ca="1">INDIRECT(ADDRESS(6,K68))</f>
        <v>175</v>
      </c>
      <c r="L79" s="25" t="s">
        <v>554</v>
      </c>
    </row>
    <row r="80" spans="2:12" ht="13.8" x14ac:dyDescent="0.3">
      <c r="B80" t="s">
        <v>615</v>
      </c>
      <c r="C80" t="e">
        <f ca="1">INDIRECT(ADDRESS(7,C68))*INDIRECT(ADDRESS(29,C68))</f>
        <v>#N/A</v>
      </c>
      <c r="D80" s="25" t="s">
        <v>556</v>
      </c>
      <c r="F80" t="s">
        <v>615</v>
      </c>
      <c r="G80" t="e">
        <f ca="1">INDIRECT(ADDRESS(7,G68))*INDIRECT(ADDRESS(29,G68))</f>
        <v>#N/A</v>
      </c>
      <c r="H80" s="25" t="s">
        <v>556</v>
      </c>
      <c r="J80" s="25" t="s">
        <v>615</v>
      </c>
      <c r="K80">
        <f ca="1">INDIRECT(ADDRESS(7,K68))</f>
        <v>2</v>
      </c>
      <c r="L80" s="25" t="s">
        <v>556</v>
      </c>
    </row>
    <row r="81" spans="2:12" x14ac:dyDescent="0.25">
      <c r="B81" t="s">
        <v>608</v>
      </c>
      <c r="C81" t="e">
        <f ca="1">INDIRECT(ADDRESS(61,C68))</f>
        <v>#N/A</v>
      </c>
      <c r="F81" t="s">
        <v>608</v>
      </c>
      <c r="G81" t="e">
        <f ca="1">INDIRECT(ADDRESS(61,G68))</f>
        <v>#N/A</v>
      </c>
      <c r="J81" s="25" t="s">
        <v>608</v>
      </c>
      <c r="K81">
        <f ca="1">INDIRECT(ADDRESS(61,K68))</f>
        <v>1.9996019712711208</v>
      </c>
    </row>
    <row r="82" spans="2:12" x14ac:dyDescent="0.25">
      <c r="B82" t="s">
        <v>616</v>
      </c>
      <c r="C82" s="240" t="e">
        <f ca="1">HYPERLINK(INDIRECT(ADDRESS(5,C68)))</f>
        <v>#N/A</v>
      </c>
      <c r="F82" t="s">
        <v>616</v>
      </c>
      <c r="G82" s="240" t="e">
        <f ca="1">HYPERLINK(INDIRECT(ADDRESS(5,G68)))</f>
        <v>#N/A</v>
      </c>
      <c r="J82" s="25" t="s">
        <v>616</v>
      </c>
      <c r="K82" s="243" t="str">
        <f ca="1">INDIRECT(ADDRESS(5,K68))</f>
        <v>Enter webpage link</v>
      </c>
    </row>
    <row r="83" spans="2:12" x14ac:dyDescent="0.25">
      <c r="B83" t="s">
        <v>617</v>
      </c>
      <c r="C83" s="240" t="e">
        <f ca="1">HYPERLINK(INDIRECT(ADDRESS(30,C68)))</f>
        <v>#N/A</v>
      </c>
      <c r="F83" t="s">
        <v>617</v>
      </c>
      <c r="G83" s="240" t="e">
        <f ca="1">HYPERLINK(INDIRECT(ADDRESS(30,G68)))</f>
        <v>#N/A</v>
      </c>
      <c r="J83" s="25" t="s">
        <v>617</v>
      </c>
      <c r="K83" s="243" t="str">
        <f ca="1">INDIRECT(ADDRESS(30,K68))</f>
        <v>Not Applicable</v>
      </c>
    </row>
    <row r="84" spans="2:12" x14ac:dyDescent="0.25">
      <c r="B84" t="s">
        <v>597</v>
      </c>
      <c r="C84" t="e">
        <f ca="1">INDIRECT(ADDRESS(35,C68))</f>
        <v>#N/A</v>
      </c>
      <c r="D84" s="25" t="s">
        <v>618</v>
      </c>
      <c r="F84" t="s">
        <v>597</v>
      </c>
      <c r="G84" t="e">
        <f ca="1">INDIRECT(ADDRESS(35,G68))</f>
        <v>#N/A</v>
      </c>
      <c r="H84" s="25" t="s">
        <v>618</v>
      </c>
      <c r="J84" s="25" t="s">
        <v>597</v>
      </c>
      <c r="K84" s="2" t="str">
        <f ca="1">INDIRECT(ADDRESS(35,K68))</f>
        <v>Enter cost details</v>
      </c>
      <c r="L84" s="25" t="s">
        <v>618</v>
      </c>
    </row>
  </sheetData>
  <phoneticPr fontId="58" type="noConversion"/>
  <conditionalFormatting sqref="B27:B28">
    <cfRule type="expression" dxfId="57" priority="57">
      <formula>#REF!="No"</formula>
    </cfRule>
    <cfRule type="expression" dxfId="56" priority="58">
      <formula>#REF!="No"</formula>
    </cfRule>
  </conditionalFormatting>
  <conditionalFormatting sqref="F27:F28">
    <cfRule type="expression" dxfId="55" priority="55">
      <formula>#REF!="No"</formula>
    </cfRule>
    <cfRule type="expression" dxfId="54" priority="56">
      <formula>#REF!="No"</formula>
    </cfRule>
  </conditionalFormatting>
  <conditionalFormatting sqref="J27:J28">
    <cfRule type="expression" dxfId="53" priority="53">
      <formula>#REF!="No"</formula>
    </cfRule>
    <cfRule type="expression" dxfId="52" priority="54">
      <formula>#REF!="No"</formula>
    </cfRule>
  </conditionalFormatting>
  <conditionalFormatting sqref="N27:N28">
    <cfRule type="expression" dxfId="51" priority="51">
      <formula>#REF!="No"</formula>
    </cfRule>
    <cfRule type="expression" dxfId="50" priority="52">
      <formula>#REF!="No"</formula>
    </cfRule>
  </conditionalFormatting>
  <conditionalFormatting sqref="R27:R28">
    <cfRule type="expression" dxfId="49" priority="49">
      <formula>#REF!="No"</formula>
    </cfRule>
    <cfRule type="expression" dxfId="48" priority="50">
      <formula>#REF!="No"</formula>
    </cfRule>
  </conditionalFormatting>
  <conditionalFormatting sqref="V27:V28">
    <cfRule type="expression" dxfId="47" priority="47">
      <formula>#REF!="No"</formula>
    </cfRule>
    <cfRule type="expression" dxfId="46" priority="48">
      <formula>#REF!="No"</formula>
    </cfRule>
  </conditionalFormatting>
  <conditionalFormatting sqref="Z27:Z28">
    <cfRule type="expression" dxfId="45" priority="45">
      <formula>#REF!="No"</formula>
    </cfRule>
    <cfRule type="expression" dxfId="44" priority="46">
      <formula>#REF!="No"</formula>
    </cfRule>
  </conditionalFormatting>
  <conditionalFormatting sqref="AD27:AD28">
    <cfRule type="expression" dxfId="43" priority="43">
      <formula>#REF!="No"</formula>
    </cfRule>
    <cfRule type="expression" dxfId="42" priority="44">
      <formula>#REF!="No"</formula>
    </cfRule>
  </conditionalFormatting>
  <conditionalFormatting sqref="AH27:AH28">
    <cfRule type="expression" dxfId="41" priority="41">
      <formula>#REF!="No"</formula>
    </cfRule>
    <cfRule type="expression" dxfId="40" priority="42">
      <formula>#REF!="No"</formula>
    </cfRule>
  </conditionalFormatting>
  <conditionalFormatting sqref="AL27:AL28">
    <cfRule type="expression" dxfId="39" priority="39">
      <formula>#REF!="No"</formula>
    </cfRule>
    <cfRule type="expression" dxfId="38" priority="40">
      <formula>#REF!="No"</formula>
    </cfRule>
  </conditionalFormatting>
  <conditionalFormatting sqref="AP27:AP28">
    <cfRule type="expression" dxfId="37" priority="37">
      <formula>#REF!="No"</formula>
    </cfRule>
    <cfRule type="expression" dxfId="36" priority="38">
      <formula>#REF!="No"</formula>
    </cfRule>
  </conditionalFormatting>
  <conditionalFormatting sqref="AT27:AT28">
    <cfRule type="expression" dxfId="35" priority="35">
      <formula>#REF!="No"</formula>
    </cfRule>
    <cfRule type="expression" dxfId="34" priority="36">
      <formula>#REF!="No"</formula>
    </cfRule>
  </conditionalFormatting>
  <conditionalFormatting sqref="AX27:AX28">
    <cfRule type="expression" dxfId="33" priority="33">
      <formula>#REF!="No"</formula>
    </cfRule>
    <cfRule type="expression" dxfId="32" priority="34">
      <formula>#REF!="No"</formula>
    </cfRule>
  </conditionalFormatting>
  <conditionalFormatting sqref="BB27:BB28">
    <cfRule type="expression" dxfId="31" priority="31">
      <formula>#REF!="No"</formula>
    </cfRule>
    <cfRule type="expression" dxfId="30" priority="32">
      <formula>#REF!="No"</formula>
    </cfRule>
  </conditionalFormatting>
  <conditionalFormatting sqref="BF27:BF28">
    <cfRule type="expression" dxfId="29" priority="29">
      <formula>#REF!="No"</formula>
    </cfRule>
    <cfRule type="expression" dxfId="28" priority="30">
      <formula>#REF!="No"</formula>
    </cfRule>
  </conditionalFormatting>
  <conditionalFormatting sqref="BJ27:BJ28">
    <cfRule type="expression" dxfId="27" priority="27">
      <formula>#REF!="No"</formula>
    </cfRule>
    <cfRule type="expression" dxfId="26" priority="28">
      <formula>#REF!="No"</formula>
    </cfRule>
  </conditionalFormatting>
  <conditionalFormatting sqref="BN27:BN28">
    <cfRule type="expression" dxfId="25" priority="25">
      <formula>#REF!="No"</formula>
    </cfRule>
    <cfRule type="expression" dxfId="24" priority="26">
      <formula>#REF!="No"</formula>
    </cfRule>
  </conditionalFormatting>
  <conditionalFormatting sqref="BR27:BR28">
    <cfRule type="expression" dxfId="23" priority="23">
      <formula>#REF!="No"</formula>
    </cfRule>
    <cfRule type="expression" dxfId="22" priority="24">
      <formula>#REF!="No"</formula>
    </cfRule>
  </conditionalFormatting>
  <conditionalFormatting sqref="BV27:BV28">
    <cfRule type="expression" dxfId="21" priority="21">
      <formula>#REF!="No"</formula>
    </cfRule>
    <cfRule type="expression" dxfId="20" priority="22">
      <formula>#REF!="No"</formula>
    </cfRule>
  </conditionalFormatting>
  <hyperlinks>
    <hyperlink ref="G5" r:id="rId1" xr:uid="{83D01F49-1A5A-497C-B7E0-9B954E2D72C5}"/>
    <hyperlink ref="G30" r:id="rId2" xr:uid="{87540E45-1EA8-4D73-A9A3-C8B1A6C5C3B6}"/>
    <hyperlink ref="K5" r:id="rId3" xr:uid="{0F8F686C-E2EE-4795-B325-F6FD033D3F6E}"/>
    <hyperlink ref="K30" r:id="rId4" xr:uid="{F8D56BE3-533D-4B30-9AC6-A9AA78FFD8A8}"/>
    <hyperlink ref="O5" r:id="rId5" xr:uid="{483FD36C-2BDC-4D13-888E-A1374AC05B05}"/>
    <hyperlink ref="O30" r:id="rId6" xr:uid="{12B2ED79-BCAE-4BE6-A9A1-4342EDDEFC08}"/>
    <hyperlink ref="S5" r:id="rId7" xr:uid="{524CE09D-B58E-48B7-A678-1F510928229D}"/>
    <hyperlink ref="S30" r:id="rId8" xr:uid="{0EBC4B17-1E8D-48A0-BC14-F26A7E7B23D0}"/>
    <hyperlink ref="W5" r:id="rId9" xr:uid="{6DCA7DF4-C4EB-4871-A278-4C84979F92A2}"/>
    <hyperlink ref="W30" r:id="rId10" xr:uid="{3FE662D9-B162-4319-B542-612BA17497EE}"/>
    <hyperlink ref="AA5" r:id="rId11" xr:uid="{88601BA9-B4D5-466C-BA8E-68772F8E4C96}"/>
    <hyperlink ref="AA30" r:id="rId12" xr:uid="{8DC8ED9B-6CB8-4182-858B-6E028C5F0FA6}"/>
    <hyperlink ref="AE5" r:id="rId13" xr:uid="{DCD5A805-7A16-42CF-A4AB-51EC2745D76E}"/>
    <hyperlink ref="AE30" r:id="rId14" xr:uid="{4117C0A1-AB12-4BE3-8EBA-397CBDF757BF}"/>
    <hyperlink ref="AI5" r:id="rId15" xr:uid="{0B5B1B92-8135-4496-9AA2-8DED02DCBF39}"/>
    <hyperlink ref="AI30" r:id="rId16" xr:uid="{C0E06173-DC4E-4B2A-B29E-74E32A542F2A}"/>
    <hyperlink ref="AM5" r:id="rId17" xr:uid="{7C3EB9FC-E226-4D07-B697-42DC6247CD9A}"/>
    <hyperlink ref="AM30" r:id="rId18" xr:uid="{A5D6F087-671C-45B4-AC70-1CA6421FA9E7}"/>
    <hyperlink ref="AQ5" r:id="rId19" xr:uid="{632BC683-6EF4-4B17-9F63-87FCDF35491F}"/>
    <hyperlink ref="AQ30" r:id="rId20" xr:uid="{7B14E9A9-598A-4F0B-A0E6-3D0CC5B3D398}"/>
    <hyperlink ref="AU5" r:id="rId21" xr:uid="{D1A59F14-193D-4F04-A823-0B89486AB9A7}"/>
    <hyperlink ref="AU30" r:id="rId22" xr:uid="{709D04D0-517F-4CC5-BFEA-FC462C37D2E5}"/>
    <hyperlink ref="AY5" r:id="rId23" xr:uid="{75B8BC1B-29E1-4C02-9353-6E30DFB57C08}"/>
    <hyperlink ref="AY30" r:id="rId24" xr:uid="{8F4AA0DE-6702-4F4B-B73C-3D87EAA510A7}"/>
    <hyperlink ref="BC5" r:id="rId25" xr:uid="{2E9DA5CB-2EB4-4A75-AC5F-AD8ED6BAC617}"/>
    <hyperlink ref="BC30" r:id="rId26" xr:uid="{0ADDE18A-03D4-4305-A635-6D6AB1114BFB}"/>
    <hyperlink ref="BG5" r:id="rId27" xr:uid="{FD605A1B-4AAA-4323-ABA1-BE0185CCBD10}"/>
    <hyperlink ref="BG30" r:id="rId28" xr:uid="{551AE809-408F-4CD5-AB38-5765F4BC35A3}"/>
    <hyperlink ref="BK5" r:id="rId29" xr:uid="{EF32B351-530C-4C01-A96D-C00501CE3DA9}"/>
    <hyperlink ref="BK30" r:id="rId30" xr:uid="{1E852087-832A-4EB3-B65E-44FA20EA2CEC}"/>
    <hyperlink ref="BO30" r:id="rId31" xr:uid="{440C9A1B-179F-4B7B-B533-FE284190F93E}"/>
    <hyperlink ref="BO5" r:id="rId32" xr:uid="{0789A941-E5F6-428D-9BDA-69519EB1BDD8}"/>
    <hyperlink ref="BS5" r:id="rId33" xr:uid="{DC30C4ED-9762-4780-B48F-5930174F43D3}"/>
    <hyperlink ref="BS30" r:id="rId34" xr:uid="{2C37F767-93AC-429C-AE41-0397A8C649FA}"/>
    <hyperlink ref="BW5" r:id="rId35" xr:uid="{846091F2-0799-4E5D-92B7-2099E8B8A88A}"/>
    <hyperlink ref="BW30" r:id="rId36" xr:uid="{DC2A1CE2-BE9F-4C66-A6A9-A1D603DF620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BE85F-520F-4ADB-8FB1-914CB99774AA}">
  <sheetPr codeName="Sheet9"/>
  <dimension ref="B4:AN84"/>
  <sheetViews>
    <sheetView zoomScale="70" zoomScaleNormal="70" workbookViewId="0">
      <selection activeCell="AM36" sqref="AM36"/>
    </sheetView>
  </sheetViews>
  <sheetFormatPr defaultRowHeight="13.2" x14ac:dyDescent="0.25"/>
  <cols>
    <col min="2" max="2" width="27.77734375" customWidth="1"/>
    <col min="3" max="3" width="15.77734375" customWidth="1"/>
    <col min="6" max="6" width="27.77734375" customWidth="1"/>
    <col min="7" max="7" width="15.77734375" customWidth="1"/>
    <col min="10" max="10" width="27.77734375" customWidth="1"/>
    <col min="11" max="11" width="15.77734375" customWidth="1"/>
    <col min="14" max="14" width="27.77734375" customWidth="1"/>
    <col min="15" max="15" width="15.77734375" customWidth="1"/>
    <col min="18" max="18" width="27.77734375" customWidth="1"/>
    <col min="19" max="19" width="15.77734375" customWidth="1"/>
    <col min="22" max="22" width="27.77734375" customWidth="1"/>
    <col min="23" max="23" width="15.77734375" customWidth="1"/>
    <col min="26" max="26" width="27.77734375" customWidth="1"/>
    <col min="27" max="27" width="15.77734375" customWidth="1"/>
    <col min="30" max="30" width="27.77734375" customWidth="1"/>
    <col min="31" max="31" width="15.77734375" customWidth="1"/>
    <col min="34" max="34" width="27.77734375" customWidth="1"/>
    <col min="35" max="35" width="15.77734375" customWidth="1"/>
    <col min="38" max="38" width="27.77734375" customWidth="1"/>
    <col min="39" max="39" width="15.77734375" customWidth="1"/>
  </cols>
  <sheetData>
    <row r="4" spans="2:40" x14ac:dyDescent="0.25">
      <c r="B4" s="25" t="s">
        <v>513</v>
      </c>
      <c r="C4">
        <v>1</v>
      </c>
      <c r="F4" s="25" t="s">
        <v>514</v>
      </c>
      <c r="G4">
        <v>2</v>
      </c>
      <c r="J4" s="25" t="s">
        <v>515</v>
      </c>
      <c r="K4">
        <v>3</v>
      </c>
      <c r="N4" s="25" t="s">
        <v>516</v>
      </c>
      <c r="O4">
        <v>4</v>
      </c>
      <c r="R4" s="25" t="s">
        <v>517</v>
      </c>
      <c r="S4">
        <v>5</v>
      </c>
      <c r="V4" s="25" t="s">
        <v>518</v>
      </c>
      <c r="W4">
        <v>6</v>
      </c>
      <c r="Z4" s="25" t="s">
        <v>519</v>
      </c>
      <c r="AA4">
        <v>7</v>
      </c>
      <c r="AD4" s="25" t="s">
        <v>520</v>
      </c>
      <c r="AE4">
        <v>8</v>
      </c>
      <c r="AH4" s="25" t="s">
        <v>521</v>
      </c>
      <c r="AI4">
        <v>9</v>
      </c>
      <c r="AL4" s="25" t="s">
        <v>522</v>
      </c>
      <c r="AM4">
        <v>10</v>
      </c>
    </row>
    <row r="5" spans="2:40" x14ac:dyDescent="0.25">
      <c r="B5" s="25" t="s">
        <v>523</v>
      </c>
      <c r="C5" s="240" t="s">
        <v>543</v>
      </c>
      <c r="F5" s="25" t="s">
        <v>523</v>
      </c>
      <c r="G5" s="240" t="s">
        <v>544</v>
      </c>
      <c r="J5" s="25" t="s">
        <v>523</v>
      </c>
      <c r="K5" s="240" t="s">
        <v>545</v>
      </c>
      <c r="N5" s="25" t="s">
        <v>523</v>
      </c>
      <c r="O5" s="240" t="s">
        <v>546</v>
      </c>
      <c r="R5" s="25" t="s">
        <v>523</v>
      </c>
      <c r="S5" s="240" t="s">
        <v>547</v>
      </c>
      <c r="V5" s="25" t="s">
        <v>523</v>
      </c>
      <c r="W5" s="240" t="s">
        <v>548</v>
      </c>
      <c r="Z5" s="25" t="s">
        <v>523</v>
      </c>
      <c r="AA5" s="240" t="s">
        <v>549</v>
      </c>
      <c r="AD5" s="25" t="s">
        <v>523</v>
      </c>
      <c r="AE5" s="240" t="s">
        <v>550</v>
      </c>
      <c r="AH5" s="25" t="s">
        <v>523</v>
      </c>
      <c r="AI5" s="240" t="s">
        <v>551</v>
      </c>
      <c r="AL5" s="25" t="s">
        <v>523</v>
      </c>
      <c r="AM5" s="240" t="s">
        <v>552</v>
      </c>
    </row>
    <row r="6" spans="2:40" ht="13.8" x14ac:dyDescent="0.3">
      <c r="B6" s="25" t="s">
        <v>553</v>
      </c>
      <c r="C6">
        <v>175</v>
      </c>
      <c r="D6" s="25" t="s">
        <v>554</v>
      </c>
      <c r="F6" s="25" t="s">
        <v>553</v>
      </c>
      <c r="G6">
        <v>175</v>
      </c>
      <c r="H6" s="25" t="s">
        <v>554</v>
      </c>
      <c r="J6" s="25" t="s">
        <v>553</v>
      </c>
      <c r="K6">
        <v>150</v>
      </c>
      <c r="L6" s="25" t="s">
        <v>554</v>
      </c>
      <c r="N6" s="25" t="s">
        <v>553</v>
      </c>
      <c r="O6">
        <v>175</v>
      </c>
      <c r="P6" s="25" t="s">
        <v>554</v>
      </c>
      <c r="R6" s="25" t="s">
        <v>553</v>
      </c>
      <c r="S6">
        <v>150</v>
      </c>
      <c r="T6" s="25" t="s">
        <v>554</v>
      </c>
      <c r="V6" s="25" t="s">
        <v>553</v>
      </c>
      <c r="W6">
        <v>150</v>
      </c>
      <c r="X6" s="25" t="s">
        <v>554</v>
      </c>
      <c r="Z6" s="25" t="s">
        <v>553</v>
      </c>
      <c r="AA6">
        <v>150</v>
      </c>
      <c r="AB6" s="25" t="s">
        <v>554</v>
      </c>
      <c r="AD6" s="25" t="s">
        <v>553</v>
      </c>
      <c r="AE6">
        <v>150</v>
      </c>
      <c r="AF6" s="25" t="s">
        <v>554</v>
      </c>
      <c r="AH6" s="25" t="s">
        <v>553</v>
      </c>
      <c r="AI6">
        <v>150</v>
      </c>
      <c r="AJ6" s="25" t="s">
        <v>554</v>
      </c>
      <c r="AL6" s="25" t="s">
        <v>553</v>
      </c>
      <c r="AM6">
        <v>150</v>
      </c>
      <c r="AN6" s="25" t="s">
        <v>554</v>
      </c>
    </row>
    <row r="7" spans="2:40" ht="13.8" x14ac:dyDescent="0.3">
      <c r="B7" s="25" t="s">
        <v>555</v>
      </c>
      <c r="C7">
        <v>2.4</v>
      </c>
      <c r="D7" s="25" t="s">
        <v>556</v>
      </c>
      <c r="F7" s="25" t="s">
        <v>555</v>
      </c>
      <c r="G7">
        <v>3.4</v>
      </c>
      <c r="H7" s="25" t="s">
        <v>556</v>
      </c>
      <c r="J7" s="25" t="s">
        <v>555</v>
      </c>
      <c r="K7">
        <v>4.9000000000000004</v>
      </c>
      <c r="L7" s="25" t="s">
        <v>556</v>
      </c>
      <c r="N7" s="25" t="s">
        <v>555</v>
      </c>
      <c r="O7">
        <v>5.6</v>
      </c>
      <c r="P7" s="25" t="s">
        <v>556</v>
      </c>
      <c r="R7" s="25" t="s">
        <v>555</v>
      </c>
      <c r="S7">
        <v>6.4</v>
      </c>
      <c r="T7" s="25" t="s">
        <v>556</v>
      </c>
      <c r="V7" s="25" t="s">
        <v>555</v>
      </c>
      <c r="W7">
        <v>9.4</v>
      </c>
      <c r="X7" s="25" t="s">
        <v>556</v>
      </c>
      <c r="Z7" s="25" t="s">
        <v>555</v>
      </c>
      <c r="AA7">
        <v>14.5</v>
      </c>
      <c r="AB7" s="25" t="s">
        <v>556</v>
      </c>
      <c r="AD7" s="25" t="s">
        <v>555</v>
      </c>
      <c r="AE7">
        <v>15.1</v>
      </c>
      <c r="AF7" s="25" t="s">
        <v>556</v>
      </c>
      <c r="AH7" s="25" t="s">
        <v>555</v>
      </c>
      <c r="AI7">
        <v>59</v>
      </c>
      <c r="AJ7" s="25" t="s">
        <v>556</v>
      </c>
      <c r="AL7" s="25" t="s">
        <v>555</v>
      </c>
      <c r="AM7">
        <v>59</v>
      </c>
      <c r="AN7" s="25" t="s">
        <v>556</v>
      </c>
    </row>
    <row r="9" spans="2:40" x14ac:dyDescent="0.25">
      <c r="B9" s="25" t="s">
        <v>557</v>
      </c>
      <c r="F9" s="25" t="s">
        <v>557</v>
      </c>
      <c r="J9" s="25" t="s">
        <v>557</v>
      </c>
      <c r="N9" s="25" t="s">
        <v>557</v>
      </c>
      <c r="R9" s="25" t="s">
        <v>557</v>
      </c>
      <c r="V9" s="25" t="s">
        <v>557</v>
      </c>
      <c r="Z9" s="25" t="s">
        <v>557</v>
      </c>
      <c r="AD9" s="25" t="s">
        <v>557</v>
      </c>
      <c r="AH9" s="25" t="s">
        <v>557</v>
      </c>
      <c r="AL9" s="25" t="s">
        <v>557</v>
      </c>
    </row>
    <row r="10" spans="2:40" x14ac:dyDescent="0.25">
      <c r="B10" s="25"/>
      <c r="F10" s="25"/>
      <c r="J10" s="25"/>
      <c r="N10" s="25"/>
      <c r="R10" s="25"/>
      <c r="V10" s="25"/>
      <c r="Z10" s="25"/>
      <c r="AD10" s="25"/>
      <c r="AH10" s="25"/>
      <c r="AL10" s="25"/>
    </row>
    <row r="11" spans="2:40" x14ac:dyDescent="0.25">
      <c r="B11">
        <v>70</v>
      </c>
      <c r="C11">
        <v>1.25</v>
      </c>
      <c r="F11">
        <v>70</v>
      </c>
      <c r="G11">
        <v>1.33</v>
      </c>
      <c r="J11">
        <v>70</v>
      </c>
      <c r="K11">
        <v>1.33</v>
      </c>
      <c r="N11">
        <v>70</v>
      </c>
      <c r="O11">
        <v>1.33</v>
      </c>
      <c r="R11">
        <v>70</v>
      </c>
      <c r="S11">
        <v>1.31</v>
      </c>
      <c r="V11">
        <v>70</v>
      </c>
      <c r="W11">
        <v>1.34</v>
      </c>
      <c r="Z11">
        <v>70</v>
      </c>
      <c r="AA11">
        <v>1.34</v>
      </c>
      <c r="AD11">
        <v>70</v>
      </c>
      <c r="AE11">
        <v>1.3</v>
      </c>
      <c r="AH11">
        <v>70</v>
      </c>
      <c r="AI11">
        <v>1.32</v>
      </c>
      <c r="AL11">
        <v>70</v>
      </c>
      <c r="AM11">
        <v>1.28</v>
      </c>
    </row>
    <row r="12" spans="2:40" x14ac:dyDescent="0.25">
      <c r="B12">
        <v>75</v>
      </c>
      <c r="C12">
        <v>1.28</v>
      </c>
      <c r="F12">
        <v>75</v>
      </c>
      <c r="G12">
        <v>1.37</v>
      </c>
      <c r="J12">
        <v>75</v>
      </c>
      <c r="K12">
        <v>1.37</v>
      </c>
      <c r="N12">
        <v>75</v>
      </c>
      <c r="O12">
        <v>1.37</v>
      </c>
      <c r="R12">
        <v>75</v>
      </c>
      <c r="S12">
        <v>1.35</v>
      </c>
      <c r="V12">
        <v>75</v>
      </c>
      <c r="W12">
        <v>1.38</v>
      </c>
      <c r="Z12">
        <v>75</v>
      </c>
      <c r="AA12">
        <v>1.38</v>
      </c>
      <c r="AD12">
        <v>75</v>
      </c>
      <c r="AE12">
        <v>1.34</v>
      </c>
      <c r="AH12">
        <v>75</v>
      </c>
      <c r="AI12">
        <v>1.36</v>
      </c>
      <c r="AL12">
        <v>75</v>
      </c>
      <c r="AM12">
        <v>1.32</v>
      </c>
    </row>
    <row r="13" spans="2:40" x14ac:dyDescent="0.25">
      <c r="B13">
        <v>80</v>
      </c>
      <c r="C13">
        <v>1.31</v>
      </c>
      <c r="F13">
        <v>80</v>
      </c>
      <c r="G13">
        <v>1.41</v>
      </c>
      <c r="J13">
        <v>80</v>
      </c>
      <c r="K13">
        <v>1.41</v>
      </c>
      <c r="N13">
        <v>80</v>
      </c>
      <c r="O13">
        <v>1.42</v>
      </c>
      <c r="R13">
        <v>80</v>
      </c>
      <c r="S13">
        <v>1.39</v>
      </c>
      <c r="V13">
        <v>80</v>
      </c>
      <c r="W13">
        <v>1.42</v>
      </c>
      <c r="Z13">
        <v>80</v>
      </c>
      <c r="AA13">
        <v>1.43</v>
      </c>
      <c r="AD13">
        <v>80</v>
      </c>
      <c r="AE13">
        <v>1.38</v>
      </c>
      <c r="AH13">
        <v>80</v>
      </c>
      <c r="AI13">
        <v>1.4</v>
      </c>
      <c r="AL13">
        <v>80</v>
      </c>
      <c r="AM13">
        <v>1.35</v>
      </c>
    </row>
    <row r="14" spans="2:40" x14ac:dyDescent="0.25">
      <c r="B14">
        <v>85</v>
      </c>
      <c r="C14">
        <v>1.35</v>
      </c>
      <c r="F14">
        <v>85</v>
      </c>
      <c r="G14">
        <v>1.45</v>
      </c>
      <c r="J14">
        <v>85</v>
      </c>
      <c r="K14">
        <v>1.46</v>
      </c>
      <c r="N14">
        <v>85</v>
      </c>
      <c r="O14">
        <v>1.46</v>
      </c>
      <c r="R14">
        <v>85</v>
      </c>
      <c r="S14">
        <v>1.43</v>
      </c>
      <c r="V14">
        <v>85</v>
      </c>
      <c r="W14">
        <v>1.46</v>
      </c>
      <c r="Z14">
        <v>85</v>
      </c>
      <c r="AA14">
        <v>1.47</v>
      </c>
      <c r="AD14">
        <v>85</v>
      </c>
      <c r="AE14">
        <v>1.41</v>
      </c>
      <c r="AH14">
        <v>85</v>
      </c>
      <c r="AI14">
        <v>1.45</v>
      </c>
      <c r="AL14">
        <v>85</v>
      </c>
      <c r="AM14">
        <v>1.39</v>
      </c>
    </row>
    <row r="15" spans="2:40" x14ac:dyDescent="0.25">
      <c r="B15">
        <v>90</v>
      </c>
      <c r="C15" s="25">
        <v>1.38</v>
      </c>
      <c r="F15">
        <v>90</v>
      </c>
      <c r="G15" s="25">
        <v>1.49</v>
      </c>
      <c r="J15">
        <v>90</v>
      </c>
      <c r="K15" s="25">
        <v>1.5</v>
      </c>
      <c r="N15">
        <v>90</v>
      </c>
      <c r="O15" s="25">
        <v>1.51</v>
      </c>
      <c r="R15">
        <v>90</v>
      </c>
      <c r="S15" s="25">
        <v>1.47</v>
      </c>
      <c r="V15">
        <v>90</v>
      </c>
      <c r="W15" s="25">
        <v>1.51</v>
      </c>
      <c r="Z15">
        <v>90</v>
      </c>
      <c r="AA15" s="25">
        <v>1.52</v>
      </c>
      <c r="AD15">
        <v>90</v>
      </c>
      <c r="AE15" s="25">
        <v>1.45</v>
      </c>
      <c r="AH15">
        <v>90</v>
      </c>
      <c r="AI15" s="25">
        <v>1.49</v>
      </c>
      <c r="AL15">
        <v>90</v>
      </c>
      <c r="AM15" s="25">
        <v>1.42</v>
      </c>
    </row>
    <row r="16" spans="2:40" x14ac:dyDescent="0.25">
      <c r="B16">
        <v>95</v>
      </c>
      <c r="C16" s="25">
        <v>1.41</v>
      </c>
      <c r="F16">
        <v>95</v>
      </c>
      <c r="G16" s="25">
        <v>1.54</v>
      </c>
      <c r="J16">
        <v>95</v>
      </c>
      <c r="K16" s="25">
        <v>1.55</v>
      </c>
      <c r="N16">
        <v>95</v>
      </c>
      <c r="O16" s="25">
        <v>1.55</v>
      </c>
      <c r="R16">
        <v>95</v>
      </c>
      <c r="S16" s="25">
        <v>1.52</v>
      </c>
      <c r="V16">
        <v>95</v>
      </c>
      <c r="W16" s="25">
        <v>1.56</v>
      </c>
      <c r="Z16">
        <v>95</v>
      </c>
      <c r="AA16" s="25">
        <v>1.56</v>
      </c>
      <c r="AD16">
        <v>95</v>
      </c>
      <c r="AE16" s="25">
        <v>1.49</v>
      </c>
      <c r="AH16">
        <v>95</v>
      </c>
      <c r="AI16" s="25">
        <v>1.53</v>
      </c>
      <c r="AL16">
        <v>95</v>
      </c>
      <c r="AM16" s="25">
        <v>1.46</v>
      </c>
    </row>
    <row r="17" spans="2:40" x14ac:dyDescent="0.25">
      <c r="B17">
        <v>100</v>
      </c>
      <c r="C17" s="25">
        <v>1.44</v>
      </c>
      <c r="F17">
        <v>100</v>
      </c>
      <c r="G17" s="25">
        <v>1.58</v>
      </c>
      <c r="J17">
        <v>100</v>
      </c>
      <c r="K17" s="25">
        <v>1.59</v>
      </c>
      <c r="N17">
        <v>100</v>
      </c>
      <c r="O17" s="25">
        <v>1.6</v>
      </c>
      <c r="R17">
        <v>100</v>
      </c>
      <c r="S17" s="25">
        <v>1.56</v>
      </c>
      <c r="V17">
        <v>100</v>
      </c>
      <c r="W17" s="25">
        <v>1.6</v>
      </c>
      <c r="Z17">
        <v>100</v>
      </c>
      <c r="AA17" s="25">
        <v>1.61</v>
      </c>
      <c r="AD17">
        <v>100</v>
      </c>
      <c r="AE17" s="25">
        <v>1.53</v>
      </c>
      <c r="AH17">
        <v>100</v>
      </c>
      <c r="AI17" s="25">
        <v>1.58</v>
      </c>
      <c r="AL17">
        <v>100</v>
      </c>
      <c r="AM17" s="25">
        <v>1.5</v>
      </c>
    </row>
    <row r="18" spans="2:40" x14ac:dyDescent="0.25">
      <c r="B18">
        <v>105</v>
      </c>
      <c r="C18" s="25">
        <v>1.48</v>
      </c>
      <c r="F18">
        <v>105</v>
      </c>
      <c r="G18" s="25">
        <v>1.63</v>
      </c>
      <c r="J18">
        <v>105</v>
      </c>
      <c r="K18" s="25">
        <v>1.64</v>
      </c>
      <c r="N18">
        <v>105</v>
      </c>
      <c r="O18" s="25">
        <v>1.64</v>
      </c>
      <c r="R18">
        <v>105</v>
      </c>
      <c r="S18" s="25">
        <v>1.61</v>
      </c>
      <c r="V18">
        <v>105</v>
      </c>
      <c r="W18" s="25">
        <v>1.65</v>
      </c>
      <c r="Z18">
        <v>105</v>
      </c>
      <c r="AA18" s="25">
        <v>1.66</v>
      </c>
      <c r="AD18">
        <v>105</v>
      </c>
      <c r="AE18" s="25">
        <v>1.57</v>
      </c>
      <c r="AH18">
        <v>105</v>
      </c>
      <c r="AI18" s="25">
        <v>1.63</v>
      </c>
      <c r="AL18">
        <v>105</v>
      </c>
      <c r="AM18" s="25">
        <v>1.53</v>
      </c>
    </row>
    <row r="19" spans="2:40" x14ac:dyDescent="0.25">
      <c r="B19">
        <v>110</v>
      </c>
      <c r="C19" s="25">
        <v>1.51</v>
      </c>
      <c r="F19">
        <v>110</v>
      </c>
      <c r="G19" s="25">
        <v>1.68</v>
      </c>
      <c r="J19">
        <v>110</v>
      </c>
      <c r="K19" s="25">
        <v>1.69</v>
      </c>
      <c r="N19">
        <v>110</v>
      </c>
      <c r="O19" s="25">
        <v>1.69</v>
      </c>
      <c r="R19">
        <v>110</v>
      </c>
      <c r="S19" s="25">
        <v>1.65</v>
      </c>
      <c r="V19">
        <v>110</v>
      </c>
      <c r="W19" s="25">
        <v>1.7</v>
      </c>
      <c r="Z19">
        <v>110</v>
      </c>
      <c r="AA19" s="25">
        <v>1.71</v>
      </c>
      <c r="AD19">
        <v>110</v>
      </c>
      <c r="AE19" s="25">
        <v>1.6</v>
      </c>
      <c r="AH19">
        <v>110</v>
      </c>
      <c r="AI19" s="25">
        <v>1.67</v>
      </c>
      <c r="AL19">
        <v>110</v>
      </c>
      <c r="AM19" s="25">
        <v>1.57</v>
      </c>
    </row>
    <row r="20" spans="2:40" x14ac:dyDescent="0.25">
      <c r="B20">
        <v>115</v>
      </c>
      <c r="C20" s="25">
        <v>1.55</v>
      </c>
      <c r="F20">
        <v>115</v>
      </c>
      <c r="G20" s="25">
        <v>1.73</v>
      </c>
      <c r="J20">
        <v>115</v>
      </c>
      <c r="K20" s="25">
        <v>1.74</v>
      </c>
      <c r="N20">
        <v>115</v>
      </c>
      <c r="O20" s="25">
        <v>1.74</v>
      </c>
      <c r="R20">
        <v>115</v>
      </c>
      <c r="S20" s="25">
        <v>1.7</v>
      </c>
      <c r="V20">
        <v>115</v>
      </c>
      <c r="W20" s="25">
        <v>1.75</v>
      </c>
      <c r="Z20">
        <v>115</v>
      </c>
      <c r="AA20" s="25">
        <v>1.76</v>
      </c>
      <c r="AD20">
        <v>115</v>
      </c>
      <c r="AE20" s="25">
        <v>1.64</v>
      </c>
      <c r="AH20">
        <v>115</v>
      </c>
      <c r="AI20" s="25">
        <v>1.72</v>
      </c>
      <c r="AL20">
        <v>115</v>
      </c>
      <c r="AM20" s="25">
        <v>1.61</v>
      </c>
    </row>
    <row r="21" spans="2:40" x14ac:dyDescent="0.25">
      <c r="B21">
        <v>120</v>
      </c>
      <c r="C21" s="25">
        <v>1.58</v>
      </c>
      <c r="F21">
        <v>120</v>
      </c>
      <c r="G21" s="25">
        <v>1.78</v>
      </c>
      <c r="J21">
        <v>120</v>
      </c>
      <c r="K21" s="25">
        <v>1.79</v>
      </c>
      <c r="N21">
        <v>120</v>
      </c>
      <c r="O21" s="25">
        <v>1.79</v>
      </c>
      <c r="R21">
        <v>120</v>
      </c>
      <c r="S21" s="25">
        <v>1.75</v>
      </c>
      <c r="V21">
        <v>120</v>
      </c>
      <c r="W21" s="25">
        <v>1.8</v>
      </c>
      <c r="Z21">
        <v>120</v>
      </c>
      <c r="AA21" s="25">
        <v>1.81</v>
      </c>
      <c r="AD21">
        <v>120</v>
      </c>
      <c r="AE21" s="25">
        <v>1.68</v>
      </c>
      <c r="AH21">
        <v>120</v>
      </c>
      <c r="AI21" s="25">
        <v>1.77</v>
      </c>
      <c r="AL21">
        <v>120</v>
      </c>
      <c r="AM21" s="25">
        <v>1.65</v>
      </c>
    </row>
    <row r="22" spans="2:40" x14ac:dyDescent="0.25">
      <c r="B22">
        <v>125</v>
      </c>
      <c r="C22" s="25">
        <v>1.62</v>
      </c>
      <c r="F22">
        <v>125</v>
      </c>
      <c r="G22" s="25">
        <v>1.83</v>
      </c>
      <c r="J22">
        <v>125</v>
      </c>
      <c r="K22" s="25">
        <v>1.84</v>
      </c>
      <c r="N22">
        <v>125</v>
      </c>
      <c r="O22" s="25">
        <v>1.84</v>
      </c>
      <c r="R22">
        <v>125</v>
      </c>
      <c r="S22" s="25">
        <v>1.8</v>
      </c>
      <c r="V22">
        <v>125</v>
      </c>
      <c r="W22" s="25">
        <v>1.85</v>
      </c>
      <c r="Z22">
        <v>125</v>
      </c>
      <c r="AA22" s="25">
        <v>1.86</v>
      </c>
      <c r="AD22">
        <v>125</v>
      </c>
      <c r="AE22" s="25">
        <v>1.73</v>
      </c>
      <c r="AH22">
        <v>125</v>
      </c>
      <c r="AI22" s="25">
        <v>1.82</v>
      </c>
      <c r="AL22">
        <v>125</v>
      </c>
      <c r="AM22" s="25">
        <v>1.69</v>
      </c>
    </row>
    <row r="23" spans="2:40" x14ac:dyDescent="0.25">
      <c r="B23">
        <v>130</v>
      </c>
      <c r="C23" s="25">
        <v>1.65</v>
      </c>
      <c r="F23">
        <v>130</v>
      </c>
      <c r="G23" s="25">
        <v>1.88</v>
      </c>
      <c r="J23">
        <v>130</v>
      </c>
      <c r="K23" s="25">
        <v>1.89</v>
      </c>
      <c r="N23">
        <v>130</v>
      </c>
      <c r="O23" s="25">
        <v>1.9</v>
      </c>
      <c r="R23">
        <v>130</v>
      </c>
      <c r="S23" s="25">
        <v>1.85</v>
      </c>
      <c r="V23">
        <v>130</v>
      </c>
      <c r="W23" s="25">
        <v>1.91</v>
      </c>
      <c r="Z23">
        <v>130</v>
      </c>
      <c r="AA23" s="25">
        <v>1.91</v>
      </c>
      <c r="AD23">
        <v>130</v>
      </c>
      <c r="AE23" s="25">
        <v>1.77</v>
      </c>
      <c r="AH23">
        <v>130</v>
      </c>
      <c r="AI23" s="25">
        <v>1.87</v>
      </c>
      <c r="AL23">
        <v>130</v>
      </c>
      <c r="AM23" s="25">
        <v>1.73</v>
      </c>
    </row>
    <row r="24" spans="2:40" x14ac:dyDescent="0.25">
      <c r="C24" s="25"/>
      <c r="G24" s="25"/>
      <c r="K24" s="25"/>
      <c r="O24" s="25"/>
      <c r="S24" s="25"/>
      <c r="W24" s="25"/>
      <c r="AA24" s="25"/>
      <c r="AE24" s="25"/>
      <c r="AI24" s="25"/>
      <c r="AM24" s="25"/>
    </row>
    <row r="25" spans="2:40" x14ac:dyDescent="0.25">
      <c r="B25" s="25" t="s">
        <v>558</v>
      </c>
      <c r="C25">
        <f>IOUTMAX</f>
        <v>50</v>
      </c>
      <c r="D25" s="25" t="s">
        <v>25</v>
      </c>
      <c r="F25" s="25" t="s">
        <v>558</v>
      </c>
      <c r="G25">
        <f>IOUTMAX</f>
        <v>50</v>
      </c>
      <c r="H25" s="25" t="s">
        <v>25</v>
      </c>
      <c r="J25" s="25" t="s">
        <v>558</v>
      </c>
      <c r="K25">
        <f>IOUTMAX</f>
        <v>50</v>
      </c>
      <c r="L25" s="25" t="s">
        <v>25</v>
      </c>
      <c r="N25" s="25" t="s">
        <v>558</v>
      </c>
      <c r="O25">
        <f>IOUTMAX</f>
        <v>50</v>
      </c>
      <c r="P25" s="25" t="s">
        <v>25</v>
      </c>
      <c r="R25" s="25" t="s">
        <v>558</v>
      </c>
      <c r="S25">
        <f>IOUTMAX</f>
        <v>50</v>
      </c>
      <c r="T25" s="25" t="s">
        <v>25</v>
      </c>
      <c r="V25" s="25" t="s">
        <v>558</v>
      </c>
      <c r="W25">
        <f>IOUTMAX</f>
        <v>50</v>
      </c>
      <c r="X25" s="25" t="s">
        <v>25</v>
      </c>
      <c r="Z25" s="25" t="s">
        <v>558</v>
      </c>
      <c r="AA25">
        <f>IOUTMAX</f>
        <v>50</v>
      </c>
      <c r="AB25" s="25" t="s">
        <v>25</v>
      </c>
      <c r="AD25" s="25" t="s">
        <v>558</v>
      </c>
      <c r="AE25">
        <f>IOUTMAX</f>
        <v>50</v>
      </c>
      <c r="AF25" s="25" t="s">
        <v>25</v>
      </c>
      <c r="AH25" s="25" t="s">
        <v>558</v>
      </c>
      <c r="AI25">
        <f>IOUTMAX</f>
        <v>50</v>
      </c>
      <c r="AJ25" s="25" t="s">
        <v>25</v>
      </c>
      <c r="AL25" s="25" t="s">
        <v>558</v>
      </c>
      <c r="AM25">
        <f>IOUTMAX</f>
        <v>50</v>
      </c>
      <c r="AN25" s="25" t="s">
        <v>25</v>
      </c>
    </row>
    <row r="26" spans="2:40" ht="13.8" x14ac:dyDescent="0.3">
      <c r="B26" s="25" t="s">
        <v>559</v>
      </c>
      <c r="C26">
        <f>TAMB</f>
        <v>50</v>
      </c>
      <c r="D26" s="25" t="s">
        <v>554</v>
      </c>
      <c r="F26" s="25" t="s">
        <v>559</v>
      </c>
      <c r="G26">
        <f>TAMB</f>
        <v>50</v>
      </c>
      <c r="H26" s="25" t="s">
        <v>554</v>
      </c>
      <c r="J26" s="25" t="s">
        <v>559</v>
      </c>
      <c r="K26">
        <f>TAMB</f>
        <v>50</v>
      </c>
      <c r="L26" s="25" t="s">
        <v>554</v>
      </c>
      <c r="N26" s="25" t="s">
        <v>559</v>
      </c>
      <c r="O26">
        <f>TAMB</f>
        <v>50</v>
      </c>
      <c r="P26" s="25" t="s">
        <v>554</v>
      </c>
      <c r="R26" s="25" t="s">
        <v>559</v>
      </c>
      <c r="S26">
        <f>TAMB</f>
        <v>50</v>
      </c>
      <c r="T26" s="25" t="s">
        <v>554</v>
      </c>
      <c r="V26" s="25" t="s">
        <v>559</v>
      </c>
      <c r="W26">
        <f>TAMB</f>
        <v>50</v>
      </c>
      <c r="X26" s="25" t="s">
        <v>554</v>
      </c>
      <c r="Z26" s="25" t="s">
        <v>559</v>
      </c>
      <c r="AA26">
        <f>TAMB</f>
        <v>50</v>
      </c>
      <c r="AB26" s="25" t="s">
        <v>554</v>
      </c>
      <c r="AD26" s="25" t="s">
        <v>559</v>
      </c>
      <c r="AE26">
        <f>TAMB</f>
        <v>50</v>
      </c>
      <c r="AF26" s="25" t="s">
        <v>554</v>
      </c>
      <c r="AH26" s="25" t="s">
        <v>559</v>
      </c>
      <c r="AI26">
        <f>TAMB</f>
        <v>50</v>
      </c>
      <c r="AJ26" s="25" t="s">
        <v>554</v>
      </c>
      <c r="AL26" s="25" t="s">
        <v>559</v>
      </c>
      <c r="AM26">
        <f>TAMB</f>
        <v>50</v>
      </c>
      <c r="AN26" s="25" t="s">
        <v>554</v>
      </c>
    </row>
    <row r="27" spans="2:40" ht="15.6" x14ac:dyDescent="0.35">
      <c r="B27" s="29" t="s">
        <v>560</v>
      </c>
      <c r="C27">
        <f>ThetaJA</f>
        <v>100</v>
      </c>
      <c r="D27" s="25" t="s">
        <v>561</v>
      </c>
      <c r="F27" s="29" t="s">
        <v>560</v>
      </c>
      <c r="G27">
        <f>ThetaJA</f>
        <v>100</v>
      </c>
      <c r="H27" s="25" t="s">
        <v>561</v>
      </c>
      <c r="J27" s="29" t="s">
        <v>560</v>
      </c>
      <c r="K27">
        <f>ThetaJA</f>
        <v>100</v>
      </c>
      <c r="L27" s="25" t="s">
        <v>561</v>
      </c>
      <c r="N27" s="29" t="s">
        <v>560</v>
      </c>
      <c r="O27">
        <f>ThetaJA</f>
        <v>100</v>
      </c>
      <c r="P27" s="25" t="s">
        <v>561</v>
      </c>
      <c r="R27" s="29" t="s">
        <v>560</v>
      </c>
      <c r="S27">
        <f>ThetaJA</f>
        <v>100</v>
      </c>
      <c r="T27" s="25" t="s">
        <v>561</v>
      </c>
      <c r="V27" s="29" t="s">
        <v>560</v>
      </c>
      <c r="W27">
        <f>ThetaJA</f>
        <v>100</v>
      </c>
      <c r="X27" s="25" t="s">
        <v>561</v>
      </c>
      <c r="Z27" s="29" t="s">
        <v>560</v>
      </c>
      <c r="AA27">
        <f>ThetaJA</f>
        <v>100</v>
      </c>
      <c r="AB27" s="25" t="s">
        <v>561</v>
      </c>
      <c r="AD27" s="29" t="s">
        <v>560</v>
      </c>
      <c r="AE27">
        <f>ThetaJA</f>
        <v>100</v>
      </c>
      <c r="AF27" s="25" t="s">
        <v>561</v>
      </c>
      <c r="AH27" s="29" t="s">
        <v>560</v>
      </c>
      <c r="AI27">
        <f>ThetaJA</f>
        <v>100</v>
      </c>
      <c r="AJ27" s="25" t="s">
        <v>561</v>
      </c>
      <c r="AL27" s="29" t="s">
        <v>560</v>
      </c>
      <c r="AM27">
        <f>ThetaJA</f>
        <v>100</v>
      </c>
      <c r="AN27" s="25" t="s">
        <v>561</v>
      </c>
    </row>
    <row r="28" spans="2:40" ht="13.8" x14ac:dyDescent="0.3">
      <c r="B28" s="29" t="s">
        <v>562</v>
      </c>
      <c r="C28" s="102">
        <f>'Design Calculator'!F25</f>
        <v>80</v>
      </c>
      <c r="D28" s="25" t="s">
        <v>554</v>
      </c>
      <c r="F28" s="29" t="s">
        <v>562</v>
      </c>
      <c r="G28" s="102">
        <f>'Design Calculator'!F25</f>
        <v>80</v>
      </c>
      <c r="H28" s="25" t="s">
        <v>554</v>
      </c>
      <c r="J28" s="29" t="s">
        <v>562</v>
      </c>
      <c r="K28" s="102">
        <f>'Design Calculator'!F25</f>
        <v>80</v>
      </c>
      <c r="L28" s="25" t="s">
        <v>554</v>
      </c>
      <c r="N28" s="29" t="s">
        <v>562</v>
      </c>
      <c r="O28" s="102">
        <f>'Design Calculator'!F25</f>
        <v>80</v>
      </c>
      <c r="P28" s="25" t="s">
        <v>554</v>
      </c>
      <c r="R28" s="29" t="s">
        <v>562</v>
      </c>
      <c r="S28" s="102">
        <f>'Design Calculator'!F25</f>
        <v>80</v>
      </c>
      <c r="T28" s="25" t="s">
        <v>554</v>
      </c>
      <c r="V28" s="29" t="s">
        <v>562</v>
      </c>
      <c r="W28" s="102">
        <f>'Design Calculator'!F25</f>
        <v>80</v>
      </c>
      <c r="X28" s="25" t="s">
        <v>554</v>
      </c>
      <c r="Z28" s="29" t="s">
        <v>562</v>
      </c>
      <c r="AA28" s="102">
        <f>'Design Calculator'!F25</f>
        <v>80</v>
      </c>
      <c r="AB28" s="25" t="s">
        <v>554</v>
      </c>
      <c r="AD28" s="29" t="s">
        <v>562</v>
      </c>
      <c r="AE28" s="102">
        <f>'Design Calculator'!F25</f>
        <v>80</v>
      </c>
      <c r="AF28" s="25" t="s">
        <v>554</v>
      </c>
      <c r="AH28" s="29" t="s">
        <v>562</v>
      </c>
      <c r="AI28" s="102">
        <f>'Design Calculator'!F25</f>
        <v>80</v>
      </c>
      <c r="AJ28" s="25" t="s">
        <v>554</v>
      </c>
      <c r="AL28" s="29" t="s">
        <v>562</v>
      </c>
      <c r="AM28" s="102">
        <f>'Design Calculator'!F25</f>
        <v>80</v>
      </c>
      <c r="AN28" s="25" t="s">
        <v>554</v>
      </c>
    </row>
    <row r="29" spans="2:40" x14ac:dyDescent="0.25">
      <c r="C29">
        <f>LOOKUP(C28,B11:B23,C11:C23)</f>
        <v>1.31</v>
      </c>
      <c r="G29">
        <f>LOOKUP(G28,F11:F23,G11:G23)</f>
        <v>1.41</v>
      </c>
      <c r="K29">
        <f>LOOKUP(K28,J11:J23,K11:K23)</f>
        <v>1.41</v>
      </c>
      <c r="O29">
        <f>LOOKUP(O28,N11:N23,O11:O23)</f>
        <v>1.42</v>
      </c>
      <c r="S29">
        <f>LOOKUP(S28,R11:R23,S11:S23)</f>
        <v>1.39</v>
      </c>
      <c r="W29">
        <f>LOOKUP(W28,V11:V23,W11:W23)</f>
        <v>1.42</v>
      </c>
      <c r="AA29">
        <f>LOOKUP(AA28,Z11:Z23,AA11:AA23)</f>
        <v>1.43</v>
      </c>
      <c r="AE29">
        <f>LOOKUP(AE28,AD11:AD23,AE11:AE23)</f>
        <v>1.38</v>
      </c>
      <c r="AI29">
        <f>LOOKUP(AI28,AH11:AH23,AI11:AI23)</f>
        <v>1.4</v>
      </c>
      <c r="AM29">
        <f>LOOKUP(AM28,AL11:AL23,AM11:AM23)</f>
        <v>1.35</v>
      </c>
    </row>
    <row r="30" spans="2:40" x14ac:dyDescent="0.25">
      <c r="B30" t="s">
        <v>563</v>
      </c>
      <c r="C30" s="240" t="s">
        <v>583</v>
      </c>
      <c r="F30" t="s">
        <v>563</v>
      </c>
      <c r="G30" s="240" t="s">
        <v>584</v>
      </c>
      <c r="J30" t="s">
        <v>563</v>
      </c>
      <c r="K30" s="240" t="s">
        <v>585</v>
      </c>
      <c r="N30" t="s">
        <v>563</v>
      </c>
      <c r="O30" s="240" t="s">
        <v>586</v>
      </c>
      <c r="R30" t="s">
        <v>563</v>
      </c>
      <c r="S30" s="240" t="s">
        <v>587</v>
      </c>
      <c r="V30" t="s">
        <v>563</v>
      </c>
      <c r="W30" s="240" t="s">
        <v>588</v>
      </c>
      <c r="Z30" t="s">
        <v>563</v>
      </c>
      <c r="AA30" s="240" t="s">
        <v>589</v>
      </c>
      <c r="AD30" t="s">
        <v>563</v>
      </c>
      <c r="AE30" s="240" t="s">
        <v>590</v>
      </c>
      <c r="AH30" t="s">
        <v>563</v>
      </c>
      <c r="AI30" s="240" t="s">
        <v>591</v>
      </c>
      <c r="AL30" t="s">
        <v>563</v>
      </c>
      <c r="AM30" s="240" t="s">
        <v>592</v>
      </c>
    </row>
    <row r="31" spans="2:40" x14ac:dyDescent="0.25">
      <c r="B31" s="25" t="s">
        <v>593</v>
      </c>
      <c r="C31">
        <f>SQRT((C25*C25*C29*C7*C27)/(1000*(C28-C26)))</f>
        <v>5.1185935568278911</v>
      </c>
      <c r="F31" s="25" t="s">
        <v>593</v>
      </c>
      <c r="G31">
        <f>SQRT((G25*G25*G29*G7*G27)/(1000*(G28-G26)))</f>
        <v>6.3206012372241931</v>
      </c>
      <c r="J31" s="25" t="s">
        <v>593</v>
      </c>
      <c r="K31">
        <f>SQRT((K25*K25*K29*K7*K27)/(1000*(K28-K26)))</f>
        <v>7.5878191860375797</v>
      </c>
      <c r="N31" s="25" t="s">
        <v>593</v>
      </c>
      <c r="O31">
        <f>SQRT((O25*O25*O29*O7*O27)/(1000*(O28-O26)))</f>
        <v>8.1404340588611532</v>
      </c>
      <c r="R31" s="25" t="s">
        <v>593</v>
      </c>
      <c r="S31">
        <f>SQRT((S25*S25*S29*S7*S27)/(1000*(S28-S26)))</f>
        <v>8.6100716218469024</v>
      </c>
      <c r="V31" s="25" t="s">
        <v>593</v>
      </c>
      <c r="W31">
        <f>SQRT((W25*W25*W29*W7*W27)/(1000*(W28-W26)))</f>
        <v>10.546721449499524</v>
      </c>
      <c r="Z31" s="25" t="s">
        <v>593</v>
      </c>
      <c r="AA31">
        <f>SQRT((AA25*AA25*AA29*AA7*AA27)/(1000*(AA28-AA26)))</f>
        <v>13.145024407229782</v>
      </c>
      <c r="AD31" s="25" t="s">
        <v>593</v>
      </c>
      <c r="AE31">
        <f>SQRT((AE25*AE25*AE29*AE7*AE27)/(1000*(AE28-AE26)))</f>
        <v>13.17763256431139</v>
      </c>
      <c r="AH31" s="25" t="s">
        <v>593</v>
      </c>
      <c r="AI31">
        <f>SQRT((AI25*AI25*AI29*AI7*AI27)/(1000*(AI28-AI26)))</f>
        <v>26.236107434856518</v>
      </c>
      <c r="AL31" s="25" t="s">
        <v>593</v>
      </c>
      <c r="AM31">
        <f>SQRT((AM25*AM25*AM29*AM7*AM27)/(1000*(AM28-AM26)))</f>
        <v>25.763346055976502</v>
      </c>
    </row>
    <row r="32" spans="2:40" x14ac:dyDescent="0.25">
      <c r="B32" s="25" t="s">
        <v>594</v>
      </c>
      <c r="C32">
        <f>CEILING(C31,1)</f>
        <v>6</v>
      </c>
      <c r="F32" s="25" t="s">
        <v>594</v>
      </c>
      <c r="G32">
        <f>CEILING(G31,1)</f>
        <v>7</v>
      </c>
      <c r="J32" s="25" t="s">
        <v>594</v>
      </c>
      <c r="K32">
        <f>CEILING(K31,1)</f>
        <v>8</v>
      </c>
      <c r="N32" s="25" t="s">
        <v>594</v>
      </c>
      <c r="O32">
        <f>CEILING(O31,1)</f>
        <v>9</v>
      </c>
      <c r="R32" s="25" t="s">
        <v>594</v>
      </c>
      <c r="S32">
        <f>CEILING(S31,1)</f>
        <v>9</v>
      </c>
      <c r="V32" s="25" t="s">
        <v>594</v>
      </c>
      <c r="W32">
        <f>CEILING(W31,1)</f>
        <v>11</v>
      </c>
      <c r="Z32" s="25" t="s">
        <v>594</v>
      </c>
      <c r="AA32">
        <f>CEILING(AA31,1)</f>
        <v>14</v>
      </c>
      <c r="AD32" s="25" t="s">
        <v>594</v>
      </c>
      <c r="AE32">
        <f>CEILING(AE31,1)</f>
        <v>14</v>
      </c>
      <c r="AH32" s="25" t="s">
        <v>594</v>
      </c>
      <c r="AI32">
        <f>CEILING(AI31,1)</f>
        <v>27</v>
      </c>
      <c r="AL32" s="25" t="s">
        <v>594</v>
      </c>
      <c r="AM32">
        <f>CEILING(AM31,1)</f>
        <v>26</v>
      </c>
    </row>
    <row r="33" spans="2:40" x14ac:dyDescent="0.25">
      <c r="B33" s="25" t="s">
        <v>595</v>
      </c>
      <c r="C33">
        <f>C25*C25*C29*C7/(1000*C32*C32)</f>
        <v>0.21833333333333332</v>
      </c>
      <c r="D33" s="25" t="s">
        <v>87</v>
      </c>
      <c r="F33" s="25" t="s">
        <v>595</v>
      </c>
      <c r="G33">
        <f>G25*G25*G29*G7/(1000*G32*G32)</f>
        <v>0.24459183673469387</v>
      </c>
      <c r="H33" s="25" t="s">
        <v>87</v>
      </c>
      <c r="J33" s="25" t="s">
        <v>595</v>
      </c>
      <c r="K33">
        <f>K25*K25*K29*K7/(1000*K32*K32)</f>
        <v>0.26988281250000001</v>
      </c>
      <c r="L33" s="25" t="s">
        <v>87</v>
      </c>
      <c r="N33" s="25" t="s">
        <v>595</v>
      </c>
      <c r="O33">
        <f>O25*O25*O29*O7/(1000*O32*O32)</f>
        <v>0.24543209876543209</v>
      </c>
      <c r="P33" s="25" t="s">
        <v>87</v>
      </c>
      <c r="R33" s="25" t="s">
        <v>595</v>
      </c>
      <c r="S33">
        <f>S25*S25*S29*S7/(1000*S32*S32)</f>
        <v>0.27456790123456792</v>
      </c>
      <c r="T33" s="25" t="s">
        <v>87</v>
      </c>
      <c r="V33" s="25" t="s">
        <v>595</v>
      </c>
      <c r="W33">
        <f>W25*W25*W29*W7/(1000*W32*W32)</f>
        <v>0.27578512396694216</v>
      </c>
      <c r="X33" s="25" t="s">
        <v>87</v>
      </c>
      <c r="Z33" s="25" t="s">
        <v>595</v>
      </c>
      <c r="AA33">
        <f>AA25*AA25*AA29*AA7/(1000*AA32*AA32)</f>
        <v>0.2644770408163265</v>
      </c>
      <c r="AB33" s="25" t="s">
        <v>87</v>
      </c>
      <c r="AD33" s="25" t="s">
        <v>595</v>
      </c>
      <c r="AE33">
        <f>AE25*AE25*AE29*AE7/(1000*AE32*AE32)</f>
        <v>0.26579081632653057</v>
      </c>
      <c r="AF33" s="25" t="s">
        <v>87</v>
      </c>
      <c r="AH33" s="25" t="s">
        <v>595</v>
      </c>
      <c r="AI33">
        <f>AI25*AI25*AI29*AI7/(1000*AI32*AI32)</f>
        <v>0.2832647462277092</v>
      </c>
      <c r="AJ33" s="25" t="s">
        <v>87</v>
      </c>
      <c r="AL33" s="25" t="s">
        <v>595</v>
      </c>
      <c r="AM33">
        <f>AM25*AM25*AM29*AM7/(1000*AM32*AM32)</f>
        <v>0.29456360946745563</v>
      </c>
      <c r="AN33" s="25" t="s">
        <v>87</v>
      </c>
    </row>
    <row r="34" spans="2:40" ht="13.8" x14ac:dyDescent="0.3">
      <c r="B34" s="25" t="s">
        <v>596</v>
      </c>
      <c r="C34">
        <f>C26+C33*C27</f>
        <v>71.833333333333329</v>
      </c>
      <c r="D34" s="25" t="s">
        <v>554</v>
      </c>
      <c r="F34" s="25" t="s">
        <v>596</v>
      </c>
      <c r="G34">
        <f>G26+G33*G27</f>
        <v>74.459183673469383</v>
      </c>
      <c r="H34" s="25" t="s">
        <v>554</v>
      </c>
      <c r="J34" s="25" t="s">
        <v>596</v>
      </c>
      <c r="K34">
        <f>K26+K33*K27</f>
        <v>76.98828125</v>
      </c>
      <c r="L34" s="25" t="s">
        <v>554</v>
      </c>
      <c r="N34" s="25" t="s">
        <v>596</v>
      </c>
      <c r="O34">
        <f>O26+O33*O27</f>
        <v>74.543209876543216</v>
      </c>
      <c r="P34" s="25" t="s">
        <v>554</v>
      </c>
      <c r="R34" s="25" t="s">
        <v>596</v>
      </c>
      <c r="S34">
        <f>S26+S33*S27</f>
        <v>77.456790123456784</v>
      </c>
      <c r="T34" s="25" t="s">
        <v>554</v>
      </c>
      <c r="V34" s="25" t="s">
        <v>596</v>
      </c>
      <c r="W34">
        <f>W26+W33*W27</f>
        <v>77.578512396694208</v>
      </c>
      <c r="X34" s="25" t="s">
        <v>554</v>
      </c>
      <c r="Z34" s="25" t="s">
        <v>596</v>
      </c>
      <c r="AA34">
        <f>AA26+AA33*AA27</f>
        <v>76.447704081632651</v>
      </c>
      <c r="AB34" s="25" t="s">
        <v>554</v>
      </c>
      <c r="AD34" s="25" t="s">
        <v>596</v>
      </c>
      <c r="AE34">
        <f>AE26+AE33*AE27</f>
        <v>76.579081632653057</v>
      </c>
      <c r="AF34" s="25" t="s">
        <v>554</v>
      </c>
      <c r="AH34" s="25" t="s">
        <v>596</v>
      </c>
      <c r="AI34">
        <f>AI26+AI33*AI27</f>
        <v>78.326474622770917</v>
      </c>
      <c r="AJ34" s="25" t="s">
        <v>554</v>
      </c>
      <c r="AL34" s="25" t="s">
        <v>596</v>
      </c>
      <c r="AM34">
        <f>AM26+AM33*AM27</f>
        <v>79.456360946745562</v>
      </c>
      <c r="AN34" s="25" t="s">
        <v>554</v>
      </c>
    </row>
    <row r="35" spans="2:40" x14ac:dyDescent="0.25">
      <c r="B35" s="25" t="s">
        <v>597</v>
      </c>
      <c r="C35">
        <v>1.972</v>
      </c>
      <c r="F35" s="25" t="s">
        <v>597</v>
      </c>
      <c r="G35">
        <v>1.3129999999999999</v>
      </c>
      <c r="J35" s="25" t="s">
        <v>597</v>
      </c>
      <c r="K35">
        <v>0.89600000000000002</v>
      </c>
      <c r="N35" s="25" t="s">
        <v>597</v>
      </c>
      <c r="O35">
        <v>0.91400000000000003</v>
      </c>
      <c r="R35" s="25" t="s">
        <v>597</v>
      </c>
      <c r="S35">
        <v>0.61099999999999999</v>
      </c>
      <c r="V35" s="25" t="s">
        <v>597</v>
      </c>
      <c r="W35">
        <v>0.48</v>
      </c>
      <c r="Z35" s="25" t="s">
        <v>597</v>
      </c>
      <c r="AA35">
        <v>0.40100000000000002</v>
      </c>
      <c r="AD35" s="25" t="s">
        <v>597</v>
      </c>
      <c r="AE35">
        <v>0.33500000000000002</v>
      </c>
      <c r="AH35" s="25" t="s">
        <v>597</v>
      </c>
      <c r="AI35">
        <v>0.16200000000000001</v>
      </c>
      <c r="AL35" s="25" t="s">
        <v>597</v>
      </c>
      <c r="AM35">
        <v>0.16200000000000001</v>
      </c>
    </row>
    <row r="38" spans="2:40" x14ac:dyDescent="0.25">
      <c r="B38" s="25" t="s">
        <v>599</v>
      </c>
      <c r="F38" s="25" t="s">
        <v>599</v>
      </c>
      <c r="J38" s="25" t="s">
        <v>599</v>
      </c>
      <c r="N38" s="25" t="s">
        <v>599</v>
      </c>
      <c r="R38" s="25" t="s">
        <v>599</v>
      </c>
      <c r="V38" s="25" t="s">
        <v>599</v>
      </c>
      <c r="Z38" s="25" t="s">
        <v>599</v>
      </c>
      <c r="AD38" s="25" t="s">
        <v>599</v>
      </c>
      <c r="AH38" s="25" t="s">
        <v>599</v>
      </c>
      <c r="AL38" s="25" t="s">
        <v>599</v>
      </c>
    </row>
    <row r="39" spans="2:40" x14ac:dyDescent="0.25">
      <c r="B39" s="25">
        <v>0.01</v>
      </c>
      <c r="C39" s="181">
        <v>400</v>
      </c>
      <c r="D39" s="25" t="s">
        <v>25</v>
      </c>
      <c r="F39" s="25">
        <v>0.01</v>
      </c>
      <c r="G39" s="181">
        <v>400</v>
      </c>
      <c r="H39" s="25" t="s">
        <v>25</v>
      </c>
      <c r="J39" s="25">
        <v>0.01</v>
      </c>
      <c r="K39" s="181">
        <f>30220*VINMAX^-1.615</f>
        <v>31.65637087861025</v>
      </c>
      <c r="L39" s="25" t="s">
        <v>25</v>
      </c>
      <c r="N39" s="25">
        <v>0.01</v>
      </c>
      <c r="O39" s="181">
        <f>17178*VINMAX^-1</f>
        <v>245.4</v>
      </c>
      <c r="P39" s="25" t="s">
        <v>25</v>
      </c>
      <c r="R39" s="25">
        <v>0.01</v>
      </c>
      <c r="S39" s="181">
        <f>52855*VINMAX^-1.635</f>
        <v>50.857005118658272</v>
      </c>
      <c r="T39" s="25" t="s">
        <v>25</v>
      </c>
      <c r="V39" s="25">
        <v>0.01</v>
      </c>
      <c r="W39" s="181">
        <f>14788*VINMAX^-1.324</f>
        <v>53.333444961047647</v>
      </c>
      <c r="X39" s="25" t="s">
        <v>25</v>
      </c>
      <c r="Z39" s="25">
        <v>0.01</v>
      </c>
      <c r="AA39" s="181">
        <f>8327.2*VINMAX^-1</f>
        <v>118.96000000000001</v>
      </c>
      <c r="AB39" s="25" t="s">
        <v>25</v>
      </c>
      <c r="AD39" s="25">
        <v>0.01</v>
      </c>
      <c r="AE39" s="181">
        <f>11099*VINMAX^-1.441</f>
        <v>24.349922075991365</v>
      </c>
      <c r="AF39" s="25" t="s">
        <v>25</v>
      </c>
      <c r="AH39" s="25">
        <v>0.01</v>
      </c>
      <c r="AI39" s="3">
        <v>34.4</v>
      </c>
      <c r="AJ39" s="25" t="s">
        <v>25</v>
      </c>
      <c r="AL39" s="25">
        <v>0.01</v>
      </c>
      <c r="AM39" s="3">
        <v>37</v>
      </c>
      <c r="AN39" s="25" t="s">
        <v>25</v>
      </c>
    </row>
    <row r="40" spans="2:40" x14ac:dyDescent="0.25">
      <c r="B40" s="25">
        <v>0.1</v>
      </c>
      <c r="C40" s="181">
        <f>81187*VINMAX^-1.57</f>
        <v>102.96332787594578</v>
      </c>
      <c r="D40" s="25" t="s">
        <v>25</v>
      </c>
      <c r="F40" s="25">
        <v>0.1</v>
      </c>
      <c r="G40" s="181">
        <f>21797*VINMAX^-1.499</f>
        <v>37.376167055797616</v>
      </c>
      <c r="H40" s="25" t="s">
        <v>25</v>
      </c>
      <c r="J40" s="25">
        <v>0.1</v>
      </c>
      <c r="K40" s="181">
        <f>7262.7*VINMAX^-1.615</f>
        <v>7.6078995625440982</v>
      </c>
      <c r="L40" s="25" t="s">
        <v>25</v>
      </c>
      <c r="N40" s="25">
        <v>0.1</v>
      </c>
      <c r="O40" s="181">
        <f>89244.4*VINMAX^-1.866</f>
        <v>32.183111613612311</v>
      </c>
      <c r="P40" s="25" t="s">
        <v>25</v>
      </c>
      <c r="R40" s="25">
        <v>0.1</v>
      </c>
      <c r="S40" s="181">
        <f>10071*VINMAX^-1.635</f>
        <v>9.6903017415572315</v>
      </c>
      <c r="T40" s="25" t="s">
        <v>25</v>
      </c>
      <c r="V40" s="25">
        <v>0.1</v>
      </c>
      <c r="W40" s="181">
        <f>2234.1*VINMAX^-1.324</f>
        <v>8.0573606564428282</v>
      </c>
      <c r="X40" s="25" t="s">
        <v>25</v>
      </c>
      <c r="Z40" s="25">
        <v>0.1</v>
      </c>
      <c r="AA40" s="181">
        <f>6972.3*VINMAX^-1.544</f>
        <v>9.8751725223259772</v>
      </c>
      <c r="AB40" s="25" t="s">
        <v>25</v>
      </c>
      <c r="AD40" s="25">
        <v>0.1</v>
      </c>
      <c r="AE40" s="181">
        <f>2301*VINMAX^-1.441</f>
        <v>5.048127822043079</v>
      </c>
      <c r="AF40" s="25" t="s">
        <v>25</v>
      </c>
      <c r="AH40" s="25">
        <v>0.1</v>
      </c>
      <c r="AI40" s="3">
        <f>6382.61*VINMAX^-1.811</f>
        <v>2.9075403995017544</v>
      </c>
      <c r="AJ40" s="25" t="s">
        <v>25</v>
      </c>
      <c r="AL40" s="25">
        <v>0.1</v>
      </c>
      <c r="AM40" s="3">
        <f>7915.7*VINMAX^-1.854</f>
        <v>3.0038452842099708</v>
      </c>
      <c r="AN40" s="25" t="s">
        <v>25</v>
      </c>
    </row>
    <row r="41" spans="2:40" x14ac:dyDescent="0.25">
      <c r="B41" s="25">
        <v>1</v>
      </c>
      <c r="C41" s="181">
        <f>7406.1*VINMAX^-1.57</f>
        <v>9.3925961370914308</v>
      </c>
      <c r="D41" s="25" t="s">
        <v>25</v>
      </c>
      <c r="F41" s="25">
        <v>1</v>
      </c>
      <c r="G41" s="181">
        <f>2910.8*VINMAX^-1.499</f>
        <v>4.9912624244628025</v>
      </c>
      <c r="H41" s="25" t="s">
        <v>25</v>
      </c>
      <c r="J41" s="25">
        <v>1</v>
      </c>
      <c r="K41" s="181">
        <f>2213.6*VINMAX^-1.615</f>
        <v>2.3188134539011132</v>
      </c>
      <c r="L41" s="25" t="s">
        <v>25</v>
      </c>
      <c r="N41" s="25">
        <v>1</v>
      </c>
      <c r="O41" s="181">
        <f>4961.45*VINMAX^-1.771</f>
        <v>2.6787981489038795</v>
      </c>
      <c r="P41" s="25" t="s">
        <v>25</v>
      </c>
      <c r="R41" s="25">
        <v>1</v>
      </c>
      <c r="S41" s="181">
        <f>2529.8*VINMAX^-1.635</f>
        <v>2.4341699280897116</v>
      </c>
      <c r="T41" s="25" t="s">
        <v>25</v>
      </c>
      <c r="V41" s="25">
        <v>1</v>
      </c>
      <c r="W41" s="181">
        <f>462.49*VINMAX^-1.324</f>
        <v>1.6679865404405549</v>
      </c>
      <c r="X41" s="25" t="s">
        <v>25</v>
      </c>
      <c r="Z41" s="25">
        <v>1</v>
      </c>
      <c r="AA41" s="181">
        <f>780.45*VINMAX^-1.544</f>
        <v>1.1053853671025786</v>
      </c>
      <c r="AB41" s="25" t="s">
        <v>25</v>
      </c>
      <c r="AD41" s="25">
        <v>1</v>
      </c>
      <c r="AE41" s="181">
        <f>620.07*VINMAX^-1.441</f>
        <v>1.3603618507667328</v>
      </c>
      <c r="AF41" s="25" t="s">
        <v>25</v>
      </c>
      <c r="AH41" s="25">
        <v>1</v>
      </c>
      <c r="AI41" s="3">
        <f>297.466*VINMAX^-1.587</f>
        <v>0.35096737224917929</v>
      </c>
      <c r="AJ41" s="25" t="s">
        <v>25</v>
      </c>
      <c r="AL41" s="25">
        <v>1</v>
      </c>
      <c r="AM41" s="3">
        <f>417.872*VINMAX^-1.615</f>
        <v>0.43773365359982203</v>
      </c>
      <c r="AN41" s="25" t="s">
        <v>25</v>
      </c>
    </row>
    <row r="42" spans="2:40" x14ac:dyDescent="0.25">
      <c r="B42" s="25">
        <v>10</v>
      </c>
      <c r="C42" s="181">
        <f>2304.5*VINMAX^-1.57</f>
        <v>2.9226229456700832</v>
      </c>
      <c r="D42" s="25" t="s">
        <v>25</v>
      </c>
      <c r="F42" s="25">
        <v>10</v>
      </c>
      <c r="G42" s="181">
        <f>868.34*VINMAX^-1.499</f>
        <v>1.4889765059976743</v>
      </c>
      <c r="H42" s="25" t="s">
        <v>25</v>
      </c>
      <c r="J42" s="25">
        <v>10</v>
      </c>
      <c r="K42" s="181">
        <f>822.43*VINMAX^-1.615</f>
        <v>0.86152048648892865</v>
      </c>
      <c r="L42" s="25" t="s">
        <v>25</v>
      </c>
      <c r="N42" s="25">
        <v>10</v>
      </c>
      <c r="O42" s="181">
        <f>700.975*VINMAX^-1.653</f>
        <v>0.62482078644809458</v>
      </c>
      <c r="P42" s="25" t="s">
        <v>25</v>
      </c>
      <c r="R42" s="25">
        <v>10</v>
      </c>
      <c r="S42" s="181">
        <f>800*VINMAX^-1.635</f>
        <v>0.76975885147907708</v>
      </c>
      <c r="T42" s="25" t="s">
        <v>25</v>
      </c>
      <c r="V42" s="25">
        <v>10</v>
      </c>
      <c r="W42" s="181">
        <f>124.48*VINMAX^-1.324</f>
        <v>0.44894152209569999</v>
      </c>
      <c r="X42" s="25" t="s">
        <v>25</v>
      </c>
      <c r="Z42" s="25">
        <v>10</v>
      </c>
      <c r="AA42" s="181">
        <f>294.05*VINMAX^-1.544</f>
        <v>0.41647583726890031</v>
      </c>
      <c r="AB42" s="25" t="s">
        <v>25</v>
      </c>
      <c r="AD42" s="25">
        <v>10</v>
      </c>
      <c r="AE42" s="181">
        <f>207.91*VINMAX^-1.441</f>
        <v>0.45613048912689114</v>
      </c>
      <c r="AF42" s="25" t="s">
        <v>25</v>
      </c>
      <c r="AH42" s="25">
        <v>10</v>
      </c>
      <c r="AI42" s="3">
        <f>58.33815*VINMAX^-1.39</f>
        <v>0.15895213923531848</v>
      </c>
      <c r="AJ42" s="25" t="s">
        <v>25</v>
      </c>
      <c r="AL42" s="25">
        <v>10</v>
      </c>
      <c r="AM42" s="3">
        <f>100.1*VINMAX^-1.471</f>
        <v>0.19332804561840561</v>
      </c>
      <c r="AN42" s="25" t="s">
        <v>25</v>
      </c>
    </row>
    <row r="43" spans="2:40" x14ac:dyDescent="0.25">
      <c r="B43" s="25">
        <v>100</v>
      </c>
      <c r="C43" s="181">
        <f>1175.8*VINMAX^-1.57</f>
        <v>1.4911781555733927</v>
      </c>
      <c r="D43" s="25" t="s">
        <v>25</v>
      </c>
      <c r="F43" s="25">
        <v>100</v>
      </c>
      <c r="G43" s="181">
        <f>509.52*VINMAX^-1.499</f>
        <v>0.87369384035738873</v>
      </c>
      <c r="H43" s="25" t="s">
        <v>25</v>
      </c>
      <c r="J43" s="25">
        <v>100</v>
      </c>
      <c r="K43" s="181">
        <f>266.13*VINMAX^-1.615</f>
        <v>0.27877928464343299</v>
      </c>
      <c r="L43" s="25" t="s">
        <v>25</v>
      </c>
      <c r="N43" s="25">
        <v>100</v>
      </c>
      <c r="O43" s="181">
        <f>284.092*VINMAX^-1.545</f>
        <v>0.40066603880389795</v>
      </c>
      <c r="P43" s="25" t="s">
        <v>25</v>
      </c>
      <c r="R43" s="25">
        <v>100</v>
      </c>
      <c r="S43" s="181">
        <f>241.6*VINMAX^-1.635</f>
        <v>0.23246717314668128</v>
      </c>
      <c r="T43" s="25" t="s">
        <v>25</v>
      </c>
      <c r="V43" s="25">
        <v>100</v>
      </c>
      <c r="W43" s="181">
        <f>75.006*VINMAX^-1.324</f>
        <v>0.27051179150313359</v>
      </c>
      <c r="X43" s="25" t="s">
        <v>25</v>
      </c>
      <c r="Z43" s="25">
        <v>100</v>
      </c>
      <c r="AA43" s="181">
        <f>75.64*VINMAX^-1.312</f>
        <v>0.28706674945140492</v>
      </c>
      <c r="AB43" s="25" t="s">
        <v>25</v>
      </c>
      <c r="AD43" s="25">
        <v>100</v>
      </c>
      <c r="AE43" s="181">
        <f>103.96*VINMAX^-1.441</f>
        <v>0.22807621398504929</v>
      </c>
      <c r="AF43" s="25" t="s">
        <v>25</v>
      </c>
      <c r="AH43" s="25">
        <v>100</v>
      </c>
      <c r="AI43" s="3">
        <f>15.90615*VINMAX^-1.222</f>
        <v>8.8482068891674953E-2</v>
      </c>
      <c r="AJ43" s="25" t="s">
        <v>25</v>
      </c>
      <c r="AL43" s="25">
        <v>100</v>
      </c>
      <c r="AM43" s="3">
        <f>20.2878*VINMAX^-1.191</f>
        <v>0.12874287083602981</v>
      </c>
      <c r="AN43" s="25" t="s">
        <v>25</v>
      </c>
    </row>
    <row r="45" spans="2:40" x14ac:dyDescent="0.25">
      <c r="B45" s="25" t="s">
        <v>600</v>
      </c>
      <c r="C45">
        <f>IF('Design Calculator'!F30="Soft Start",'Design Calculator'!F31-0.00001,'Design Calculator'!F81)</f>
        <v>4.999E-2</v>
      </c>
      <c r="D45" s="25" t="s">
        <v>8</v>
      </c>
      <c r="F45" s="25" t="s">
        <v>600</v>
      </c>
      <c r="G45">
        <f>IF('Design Calculator'!F30="Soft Start",'Design Calculator'!F31-0.00001,'Design Calculator'!F81)</f>
        <v>4.999E-2</v>
      </c>
      <c r="H45" s="25" t="s">
        <v>8</v>
      </c>
      <c r="J45" s="25" t="s">
        <v>600</v>
      </c>
      <c r="K45">
        <f>IF('Design Calculator'!F30="Soft Start",'Design Calculator'!F31-0.00001,'Design Calculator'!F81)</f>
        <v>4.999E-2</v>
      </c>
      <c r="L45" s="25" t="s">
        <v>8</v>
      </c>
      <c r="N45" s="25" t="s">
        <v>600</v>
      </c>
      <c r="O45">
        <f>IF('Design Calculator'!F30="Soft Start",'Design Calculator'!F31-0.00001,'Design Calculator'!F81)</f>
        <v>4.999E-2</v>
      </c>
      <c r="P45" s="25" t="s">
        <v>8</v>
      </c>
      <c r="R45" s="25" t="s">
        <v>600</v>
      </c>
      <c r="S45">
        <f>IF('Design Calculator'!F30="Soft Start",'Design Calculator'!F31-0.00001,'Design Calculator'!F81)</f>
        <v>4.999E-2</v>
      </c>
      <c r="T45" s="25" t="s">
        <v>8</v>
      </c>
      <c r="V45" s="25" t="s">
        <v>600</v>
      </c>
      <c r="W45">
        <f>IF('Design Calculator'!F30="Soft Start",'Design Calculator'!F31-0.00001,'Design Calculator'!F81)</f>
        <v>4.999E-2</v>
      </c>
      <c r="X45" s="25" t="s">
        <v>8</v>
      </c>
      <c r="Z45" s="25" t="s">
        <v>600</v>
      </c>
      <c r="AA45">
        <f>IF('Design Calculator'!F30="Soft Start",'Design Calculator'!F31-0.00001,'Design Calculator'!F81)</f>
        <v>4.999E-2</v>
      </c>
      <c r="AB45" s="25" t="s">
        <v>8</v>
      </c>
      <c r="AD45" s="25" t="s">
        <v>600</v>
      </c>
      <c r="AE45">
        <f>IF('Design Calculator'!F30="Soft Start",'Design Calculator'!F31-0.00001,'Design Calculator'!F81)</f>
        <v>4.999E-2</v>
      </c>
      <c r="AF45" s="25" t="s">
        <v>8</v>
      </c>
      <c r="AH45" s="25" t="s">
        <v>600</v>
      </c>
      <c r="AI45">
        <f>IF('Design Calculator'!F30="Soft Start",'Design Calculator'!F31-0.00001,'Design Calculator'!F81)</f>
        <v>4.999E-2</v>
      </c>
      <c r="AJ45" s="25" t="s">
        <v>8</v>
      </c>
      <c r="AL45" s="25" t="s">
        <v>600</v>
      </c>
      <c r="AM45">
        <f>IF('Design Calculator'!F30="Soft Start",'Design Calculator'!F31-0.00001,'Design Calculator'!F81)</f>
        <v>4.999E-2</v>
      </c>
      <c r="AN45" s="25" t="s">
        <v>8</v>
      </c>
    </row>
    <row r="47" spans="2:40" x14ac:dyDescent="0.25">
      <c r="B47" s="25" t="s">
        <v>175</v>
      </c>
      <c r="C47">
        <f>IF(C45&gt;B42,10,IF(C45&gt;B41,1,IF(C45&gt;B40,0.1,0.01)))</f>
        <v>0.01</v>
      </c>
      <c r="D47" s="25" t="s">
        <v>8</v>
      </c>
      <c r="F47" s="25" t="s">
        <v>175</v>
      </c>
      <c r="G47">
        <f>IF(G45&gt;F42,10,IF(G45&gt;F41,1,IF(G45&gt;F40,0.1,0.01)))</f>
        <v>0.01</v>
      </c>
      <c r="H47" s="25" t="s">
        <v>8</v>
      </c>
      <c r="J47" s="25" t="s">
        <v>175</v>
      </c>
      <c r="K47">
        <f>IF(K45&gt;J42,10,IF(K45&gt;J41,1,IF(K45&gt;J40,0.1,0.01)))</f>
        <v>0.01</v>
      </c>
      <c r="L47" s="25" t="s">
        <v>8</v>
      </c>
      <c r="N47" s="25" t="s">
        <v>175</v>
      </c>
      <c r="O47">
        <f>IF(O45&gt;N42,10,IF(O45&gt;N41,1,IF(O45&gt;N40,0.1,0.01)))</f>
        <v>0.01</v>
      </c>
      <c r="P47" s="25" t="s">
        <v>8</v>
      </c>
      <c r="R47" s="25" t="s">
        <v>175</v>
      </c>
      <c r="S47">
        <f>IF(S45&gt;R42,10,IF(S45&gt;R41,1,IF(S45&gt;R40,0.1,0.01)))</f>
        <v>0.01</v>
      </c>
      <c r="T47" s="25" t="s">
        <v>8</v>
      </c>
      <c r="V47" s="25" t="s">
        <v>175</v>
      </c>
      <c r="W47">
        <f>IF(W45&gt;V42,10,IF(W45&gt;V41,1,IF(W45&gt;V40,0.1,0.01)))</f>
        <v>0.01</v>
      </c>
      <c r="X47" s="25" t="s">
        <v>8</v>
      </c>
      <c r="Z47" s="25" t="s">
        <v>175</v>
      </c>
      <c r="AA47">
        <f>IF(AA45&gt;Z42,10,IF(AA45&gt;Z41,1,IF(AA45&gt;Z40,0.1,0.01)))</f>
        <v>0.01</v>
      </c>
      <c r="AB47" s="25" t="s">
        <v>8</v>
      </c>
      <c r="AD47" s="25" t="s">
        <v>175</v>
      </c>
      <c r="AE47">
        <f>IF(AE45&gt;AD42,10,IF(AE45&gt;AD41,1,IF(AE45&gt;AD40,0.1,0.01)))</f>
        <v>0.01</v>
      </c>
      <c r="AF47" s="25" t="s">
        <v>8</v>
      </c>
      <c r="AH47" s="25" t="s">
        <v>175</v>
      </c>
      <c r="AI47">
        <f>IF(AI45&gt;AH42,10,IF(AI45&gt;AH41,1,IF(AI45&gt;AH40,0.1,0.01)))</f>
        <v>0.01</v>
      </c>
      <c r="AJ47" s="25" t="s">
        <v>8</v>
      </c>
      <c r="AL47" s="25" t="s">
        <v>175</v>
      </c>
      <c r="AM47">
        <f>IF(AM45&gt;AL42,10,IF(AM45&gt;AL41,1,IF(AM45&gt;AL40,0.1,0.01)))</f>
        <v>0.01</v>
      </c>
      <c r="AN47" s="25" t="s">
        <v>8</v>
      </c>
    </row>
    <row r="48" spans="2:40" x14ac:dyDescent="0.25">
      <c r="B48" s="25" t="s">
        <v>601</v>
      </c>
      <c r="C48">
        <f>LOOKUP(C47,B39:B43,C39:C43)</f>
        <v>400</v>
      </c>
      <c r="D48" s="25" t="s">
        <v>25</v>
      </c>
      <c r="F48" s="25" t="s">
        <v>601</v>
      </c>
      <c r="G48">
        <f>LOOKUP(G47,F39:F43,G39:G43)</f>
        <v>400</v>
      </c>
      <c r="H48" s="25" t="s">
        <v>25</v>
      </c>
      <c r="J48" s="25" t="s">
        <v>601</v>
      </c>
      <c r="K48">
        <f>LOOKUP(K47,J39:J43,K39:K43)</f>
        <v>31.65637087861025</v>
      </c>
      <c r="L48" s="25" t="s">
        <v>25</v>
      </c>
      <c r="N48" s="25" t="s">
        <v>601</v>
      </c>
      <c r="O48">
        <f>LOOKUP(O47,N39:N43,O39:O43)</f>
        <v>245.4</v>
      </c>
      <c r="P48" s="25" t="s">
        <v>25</v>
      </c>
      <c r="R48" s="25" t="s">
        <v>601</v>
      </c>
      <c r="S48">
        <f>LOOKUP(S47,R39:R43,S39:S43)</f>
        <v>50.857005118658272</v>
      </c>
      <c r="T48" s="25" t="s">
        <v>25</v>
      </c>
      <c r="V48" s="25" t="s">
        <v>601</v>
      </c>
      <c r="W48">
        <f>LOOKUP(W47,V39:V43,W39:W43)</f>
        <v>53.333444961047647</v>
      </c>
      <c r="X48" s="25" t="s">
        <v>25</v>
      </c>
      <c r="Z48" s="25" t="s">
        <v>601</v>
      </c>
      <c r="AA48">
        <f>LOOKUP(AA47,Z39:Z43,AA39:AA43)</f>
        <v>118.96000000000001</v>
      </c>
      <c r="AB48" s="25" t="s">
        <v>25</v>
      </c>
      <c r="AD48" s="25" t="s">
        <v>601</v>
      </c>
      <c r="AE48">
        <f>LOOKUP(AE47,AD39:AD43,AE39:AE43)</f>
        <v>24.349922075991365</v>
      </c>
      <c r="AF48" s="25" t="s">
        <v>25</v>
      </c>
      <c r="AH48" s="25" t="s">
        <v>601</v>
      </c>
      <c r="AI48">
        <f>LOOKUP(AI47,AH39:AH43,AI39:AI43)</f>
        <v>34.4</v>
      </c>
      <c r="AJ48" s="25" t="s">
        <v>25</v>
      </c>
      <c r="AL48" s="25" t="s">
        <v>601</v>
      </c>
      <c r="AM48">
        <f>LOOKUP(AM47,AL39:AL43,AM39:AM43)</f>
        <v>37</v>
      </c>
      <c r="AN48" s="25" t="s">
        <v>25</v>
      </c>
    </row>
    <row r="49" spans="2:40" x14ac:dyDescent="0.25">
      <c r="B49" s="25" t="s">
        <v>602</v>
      </c>
      <c r="C49">
        <f>IF(C45&lt;B39,0.01,IF(C45&lt;B40,0.1,IF(C45&lt;B41,1,IF(C45&lt;B42,10,100))))</f>
        <v>0.1</v>
      </c>
      <c r="D49" s="25" t="s">
        <v>8</v>
      </c>
      <c r="F49" s="25" t="s">
        <v>602</v>
      </c>
      <c r="G49">
        <f>IF(G45&lt;F39,0.01,IF(G45&lt;F40,0.1,IF(G45&lt;F41,1,IF(G45&lt;F42,10,100))))</f>
        <v>0.1</v>
      </c>
      <c r="H49" s="25" t="s">
        <v>8</v>
      </c>
      <c r="J49" s="25" t="s">
        <v>602</v>
      </c>
      <c r="K49">
        <f>IF(K45&lt;J39,0.01,IF(K45&lt;J40,0.1,IF(K45&lt;J41,1,IF(K45&lt;J42,10,100))))</f>
        <v>0.1</v>
      </c>
      <c r="L49" s="25" t="s">
        <v>8</v>
      </c>
      <c r="N49" s="25" t="s">
        <v>602</v>
      </c>
      <c r="O49">
        <f>IF(O45&lt;N39,0.01,IF(O45&lt;N40,0.1,IF(O45&lt;N41,1,IF(O45&lt;N42,10,100))))</f>
        <v>0.1</v>
      </c>
      <c r="P49" s="25" t="s">
        <v>8</v>
      </c>
      <c r="R49" s="25" t="s">
        <v>602</v>
      </c>
      <c r="S49">
        <f>IF(S45&lt;R39,0.01,IF(S45&lt;R40,0.1,IF(S45&lt;R41,1,IF(S45&lt;R42,10,100))))</f>
        <v>0.1</v>
      </c>
      <c r="T49" s="25" t="s">
        <v>8</v>
      </c>
      <c r="V49" s="25" t="s">
        <v>602</v>
      </c>
      <c r="W49">
        <f>IF(W45&lt;V39,0.01,IF(W45&lt;V40,0.1,IF(W45&lt;V41,1,IF(W45&lt;V42,10,100))))</f>
        <v>0.1</v>
      </c>
      <c r="X49" s="25" t="s">
        <v>8</v>
      </c>
      <c r="Z49" s="25" t="s">
        <v>602</v>
      </c>
      <c r="AA49">
        <f>IF(AA45&lt;Z39,0.01,IF(AA45&lt;Z40,0.1,IF(AA45&lt;Z41,1,IF(AA45&lt;Z42,10,100))))</f>
        <v>0.1</v>
      </c>
      <c r="AB49" s="25" t="s">
        <v>8</v>
      </c>
      <c r="AD49" s="25" t="s">
        <v>602</v>
      </c>
      <c r="AE49">
        <f>IF(AE45&lt;AD39,0.01,IF(AE45&lt;AD40,0.1,IF(AE45&lt;AD41,1,IF(AE45&lt;AD42,10,100))))</f>
        <v>0.1</v>
      </c>
      <c r="AF49" s="25" t="s">
        <v>8</v>
      </c>
      <c r="AH49" s="25" t="s">
        <v>602</v>
      </c>
      <c r="AI49">
        <f>IF(AI45&lt;AH39,0.01,IF(AI45&lt;AH40,0.1,IF(AI45&lt;AH41,1,IF(AI45&lt;AH42,10,100))))</f>
        <v>0.1</v>
      </c>
      <c r="AJ49" s="25" t="s">
        <v>8</v>
      </c>
      <c r="AL49" s="25" t="s">
        <v>602</v>
      </c>
      <c r="AM49">
        <f>IF(AM45&lt;AL39,0.01,IF(AM45&lt;AL40,0.1,IF(AM45&lt;AL41,1,IF(AM45&lt;AL42,10,100))))</f>
        <v>0.1</v>
      </c>
      <c r="AN49" s="25" t="s">
        <v>8</v>
      </c>
    </row>
    <row r="50" spans="2:40" x14ac:dyDescent="0.25">
      <c r="B50" s="25" t="s">
        <v>603</v>
      </c>
      <c r="C50">
        <f>LOOKUP(C49,B39:B43,C39:C43)</f>
        <v>102.96332787594578</v>
      </c>
      <c r="D50" s="25" t="s">
        <v>25</v>
      </c>
      <c r="F50" s="25" t="s">
        <v>603</v>
      </c>
      <c r="G50">
        <f>LOOKUP(G49,F39:F43,G39:G43)</f>
        <v>37.376167055797616</v>
      </c>
      <c r="H50" s="25" t="s">
        <v>25</v>
      </c>
      <c r="J50" s="25" t="s">
        <v>603</v>
      </c>
      <c r="K50">
        <f>LOOKUP(K49,J39:J43,K39:K43)</f>
        <v>7.6078995625440982</v>
      </c>
      <c r="L50" s="25" t="s">
        <v>25</v>
      </c>
      <c r="N50" s="25" t="s">
        <v>603</v>
      </c>
      <c r="O50">
        <f>LOOKUP(O49,N39:N43,O39:O43)</f>
        <v>32.183111613612311</v>
      </c>
      <c r="P50" s="25" t="s">
        <v>25</v>
      </c>
      <c r="R50" s="25" t="s">
        <v>603</v>
      </c>
      <c r="S50">
        <f>LOOKUP(S49,R39:R43,S39:S43)</f>
        <v>9.6903017415572315</v>
      </c>
      <c r="T50" s="25" t="s">
        <v>25</v>
      </c>
      <c r="V50" s="25" t="s">
        <v>603</v>
      </c>
      <c r="W50">
        <f>LOOKUP(W49,V39:V43,W39:W43)</f>
        <v>8.0573606564428282</v>
      </c>
      <c r="X50" s="25" t="s">
        <v>25</v>
      </c>
      <c r="Z50" s="25" t="s">
        <v>603</v>
      </c>
      <c r="AA50">
        <f>LOOKUP(AA49,Z39:Z43,AA39:AA43)</f>
        <v>9.8751725223259772</v>
      </c>
      <c r="AB50" s="25" t="s">
        <v>25</v>
      </c>
      <c r="AD50" s="25" t="s">
        <v>603</v>
      </c>
      <c r="AE50">
        <f>LOOKUP(AE49,AD39:AD43,AE39:AE43)</f>
        <v>5.048127822043079</v>
      </c>
      <c r="AF50" s="25" t="s">
        <v>25</v>
      </c>
      <c r="AH50" s="25" t="s">
        <v>603</v>
      </c>
      <c r="AI50">
        <f>LOOKUP(AI49,AH39:AH43,AI39:AI43)</f>
        <v>2.9075403995017544</v>
      </c>
      <c r="AJ50" s="25" t="s">
        <v>25</v>
      </c>
      <c r="AL50" s="25" t="s">
        <v>603</v>
      </c>
      <c r="AM50">
        <f>LOOKUP(AM49,AL39:AL43,AM39:AM43)</f>
        <v>3.0038452842099708</v>
      </c>
      <c r="AN50" s="25" t="s">
        <v>25</v>
      </c>
    </row>
    <row r="52" spans="2:40" x14ac:dyDescent="0.25">
      <c r="B52" s="25" t="s">
        <v>179</v>
      </c>
      <c r="C52">
        <f>C48/C47^C53</f>
        <v>26.503617218223791</v>
      </c>
      <c r="F52" s="25" t="s">
        <v>179</v>
      </c>
      <c r="G52">
        <f>G48/G47^G53</f>
        <v>3.49244465945723</v>
      </c>
      <c r="J52" s="25" t="s">
        <v>179</v>
      </c>
      <c r="K52">
        <f>K48/K47^K53</f>
        <v>1.8283882247812382</v>
      </c>
      <c r="N52" s="25" t="s">
        <v>179</v>
      </c>
      <c r="O52">
        <f>O48/O47^O53</f>
        <v>4.2206710396667804</v>
      </c>
      <c r="R52" s="25" t="s">
        <v>179</v>
      </c>
      <c r="S52">
        <f>S48/S47^S53</f>
        <v>1.8463916155372802</v>
      </c>
      <c r="V52" s="25" t="s">
        <v>179</v>
      </c>
      <c r="W52">
        <f>W48/W47^W53</f>
        <v>1.2172673412604094</v>
      </c>
      <c r="Z52" s="25" t="s">
        <v>179</v>
      </c>
      <c r="AA52">
        <f>AA48/AA47^AA53</f>
        <v>0.81976321743192704</v>
      </c>
      <c r="AD52" s="25" t="s">
        <v>179</v>
      </c>
      <c r="AE52">
        <f>AE48/AE47^AE53</f>
        <v>1.0465575383837393</v>
      </c>
      <c r="AH52" s="25" t="s">
        <v>179</v>
      </c>
      <c r="AI52">
        <f>AI48/AI47^AI53</f>
        <v>0.24574974345159367</v>
      </c>
      <c r="AL52" s="25" t="s">
        <v>179</v>
      </c>
      <c r="AM52">
        <f>AM48/AM47^AM53</f>
        <v>0.24386720247217522</v>
      </c>
    </row>
    <row r="53" spans="2:40" x14ac:dyDescent="0.25">
      <c r="B53" s="25" t="s">
        <v>180</v>
      </c>
      <c r="C53">
        <f>IF(C49=C47,0.00000000000001,LOG(C48/C50)/LOG(C47/C49))</f>
        <v>-0.58937742038032037</v>
      </c>
      <c r="F53" s="25" t="s">
        <v>180</v>
      </c>
      <c r="G53">
        <f>IF(G49=G47,0.00000000000001,LOG(G48/G50)/LOG(G47/G49))</f>
        <v>-1.0294652291130719</v>
      </c>
      <c r="J53" s="25" t="s">
        <v>180</v>
      </c>
      <c r="K53">
        <f>IF(K49=K47,0.00000000000001,LOG(K48/K50)/LOG(K47/K49))</f>
        <v>-0.61919635485241142</v>
      </c>
      <c r="N53" s="25" t="s">
        <v>180</v>
      </c>
      <c r="O53">
        <f>IF(O49=O47,0.00000000000001,LOG(O48/O50)/LOG(O47/O49))</f>
        <v>-0.88224652697813633</v>
      </c>
      <c r="R53" s="25" t="s">
        <v>180</v>
      </c>
      <c r="S53">
        <f>IF(S49=S47,0.00000000000001,LOG(S48/S50)/LOG(S47/S49))</f>
        <v>-0.72001348119511421</v>
      </c>
      <c r="V53" s="25" t="s">
        <v>180</v>
      </c>
      <c r="W53">
        <f>IF(W49=W47,0.00000000000001,LOG(W48/W50)/LOG(W47/W49))</f>
        <v>-0.82080683333803739</v>
      </c>
      <c r="Z53" s="25" t="s">
        <v>180</v>
      </c>
      <c r="AA53">
        <f>IF(AA49=AA47,0.00000000000001,LOG(AA48/AA50)/LOG(AA47/AA49))</f>
        <v>-1.080856263889862</v>
      </c>
      <c r="AD53" s="25" t="s">
        <v>180</v>
      </c>
      <c r="AE53">
        <f>IF(AE49=AE47,0.00000000000001,LOG(AE48/AE50)/LOG(AE47/AE49))</f>
        <v>-0.68336723272649225</v>
      </c>
      <c r="AH53" s="25" t="s">
        <v>180</v>
      </c>
      <c r="AI53">
        <f>IF(AI49=AI47,0.00000000000001,LOG(AI48/AI50)/LOG(AI47/AI49))</f>
        <v>-1.0730326847226213</v>
      </c>
      <c r="AL53" s="25" t="s">
        <v>180</v>
      </c>
      <c r="AM53">
        <f>IF(AM49=AM47,0.00000000000001,LOG(AM48/AM50)/LOG(AM47/AM49))</f>
        <v>-1.0905241638920684</v>
      </c>
    </row>
    <row r="55" spans="2:40" x14ac:dyDescent="0.25">
      <c r="B55" s="25" t="s">
        <v>604</v>
      </c>
      <c r="C55">
        <f>C52*C45^C53</f>
        <v>154.93661058276058</v>
      </c>
      <c r="D55" s="25" t="s">
        <v>25</v>
      </c>
      <c r="F55" s="25" t="s">
        <v>604</v>
      </c>
      <c r="G55">
        <f>G52*G45^G53</f>
        <v>76.310465505932683</v>
      </c>
      <c r="H55" s="25" t="s">
        <v>25</v>
      </c>
      <c r="J55" s="25" t="s">
        <v>604</v>
      </c>
      <c r="K55">
        <f>K52*K45^K53</f>
        <v>11.68732805731605</v>
      </c>
      <c r="L55" s="25" t="s">
        <v>25</v>
      </c>
      <c r="N55" s="25" t="s">
        <v>604</v>
      </c>
      <c r="O55">
        <f>O52*O45^O53</f>
        <v>59.331774606241005</v>
      </c>
      <c r="P55" s="25" t="s">
        <v>25</v>
      </c>
      <c r="R55" s="25" t="s">
        <v>604</v>
      </c>
      <c r="S55">
        <f>S52*S45^S53</f>
        <v>15.96413903531076</v>
      </c>
      <c r="T55" s="25" t="s">
        <v>25</v>
      </c>
      <c r="V55" s="25" t="s">
        <v>604</v>
      </c>
      <c r="W55">
        <f>W52*W45^W53</f>
        <v>14.234806978679485</v>
      </c>
      <c r="X55" s="25" t="s">
        <v>25</v>
      </c>
      <c r="Z55" s="25" t="s">
        <v>604</v>
      </c>
      <c r="AA55">
        <f>AA52*AA45^AA53</f>
        <v>20.893381747604344</v>
      </c>
      <c r="AB55" s="25" t="s">
        <v>25</v>
      </c>
      <c r="AD55" s="25" t="s">
        <v>604</v>
      </c>
      <c r="AE55">
        <f>AE52*AE45^AE53</f>
        <v>8.1078133188513988</v>
      </c>
      <c r="AF55" s="25" t="s">
        <v>25</v>
      </c>
      <c r="AH55" s="25" t="s">
        <v>604</v>
      </c>
      <c r="AI55">
        <f>AI52*AI45^AI53</f>
        <v>6.1183454478019019</v>
      </c>
      <c r="AJ55" s="25" t="s">
        <v>25</v>
      </c>
      <c r="AL55" s="25" t="s">
        <v>604</v>
      </c>
      <c r="AM55">
        <f>AM52*AM45^AM53</f>
        <v>6.3981258113149542</v>
      </c>
      <c r="AN55" s="25" t="s">
        <v>25</v>
      </c>
    </row>
    <row r="56" spans="2:40" x14ac:dyDescent="0.25">
      <c r="B56" s="25" t="s">
        <v>605</v>
      </c>
      <c r="C56">
        <f>C55*VINMAX</f>
        <v>10845.562740793241</v>
      </c>
      <c r="D56" s="25" t="s">
        <v>87</v>
      </c>
      <c r="F56" s="25" t="s">
        <v>605</v>
      </c>
      <c r="G56">
        <f>G55*VINMAX</f>
        <v>5341.7325854152878</v>
      </c>
      <c r="H56" s="25" t="s">
        <v>87</v>
      </c>
      <c r="J56" s="25" t="s">
        <v>605</v>
      </c>
      <c r="K56">
        <f>K55*VINMAX</f>
        <v>818.11296401212348</v>
      </c>
      <c r="L56" s="25" t="s">
        <v>87</v>
      </c>
      <c r="N56" s="25" t="s">
        <v>605</v>
      </c>
      <c r="O56">
        <f>O55*VINMAX</f>
        <v>4153.2242224368701</v>
      </c>
      <c r="P56" s="25" t="s">
        <v>87</v>
      </c>
      <c r="R56" s="25" t="s">
        <v>605</v>
      </c>
      <c r="S56">
        <f>S55*VINMAX</f>
        <v>1117.4897324717531</v>
      </c>
      <c r="T56" s="25" t="s">
        <v>87</v>
      </c>
      <c r="V56" s="25" t="s">
        <v>605</v>
      </c>
      <c r="W56">
        <f>W55*VINMAX</f>
        <v>996.43648850756392</v>
      </c>
      <c r="X56" s="25" t="s">
        <v>87</v>
      </c>
      <c r="Z56" s="25" t="s">
        <v>605</v>
      </c>
      <c r="AA56">
        <f>AA55*VINMAX</f>
        <v>1462.5367223323042</v>
      </c>
      <c r="AB56" s="25" t="s">
        <v>87</v>
      </c>
      <c r="AD56" s="25" t="s">
        <v>605</v>
      </c>
      <c r="AE56">
        <f>AE55*VINMAX</f>
        <v>567.54693231959789</v>
      </c>
      <c r="AF56" s="25" t="s">
        <v>87</v>
      </c>
      <c r="AH56" s="25" t="s">
        <v>605</v>
      </c>
      <c r="AI56">
        <f>AI55*VINMAX</f>
        <v>428.28418134613315</v>
      </c>
      <c r="AJ56" s="25" t="s">
        <v>87</v>
      </c>
      <c r="AL56" s="25" t="s">
        <v>605</v>
      </c>
      <c r="AM56">
        <f>AM55*VINMAX</f>
        <v>447.86880679204677</v>
      </c>
      <c r="AN56" s="25" t="s">
        <v>87</v>
      </c>
    </row>
    <row r="58" spans="2:40" x14ac:dyDescent="0.25">
      <c r="B58" s="25" t="s">
        <v>606</v>
      </c>
      <c r="C58">
        <f>(C6-C34)/(C6-25)</f>
        <v>0.68777777777777782</v>
      </c>
      <c r="F58" s="25" t="s">
        <v>606</v>
      </c>
      <c r="G58">
        <f>(G6-G34)/(G6-25)</f>
        <v>0.6702721088435375</v>
      </c>
      <c r="J58" s="25" t="s">
        <v>606</v>
      </c>
      <c r="K58">
        <f>(K6-K34)/(K6-25)</f>
        <v>0.58409374999999997</v>
      </c>
      <c r="N58" s="25" t="s">
        <v>606</v>
      </c>
      <c r="O58">
        <f>(O6-O34)/(O6-25)</f>
        <v>0.66971193415637853</v>
      </c>
      <c r="R58" s="25" t="s">
        <v>606</v>
      </c>
      <c r="S58">
        <f>(S6-S34)/(S6-25)</f>
        <v>0.58034567901234568</v>
      </c>
      <c r="V58" s="25" t="s">
        <v>606</v>
      </c>
      <c r="W58">
        <f>(W6-W34)/(W6-25)</f>
        <v>0.5793719008264463</v>
      </c>
      <c r="Z58" s="25" t="s">
        <v>606</v>
      </c>
      <c r="AA58">
        <f>(AA6-AA34)/(AA6-25)</f>
        <v>0.58841836734693875</v>
      </c>
      <c r="AD58" s="25" t="s">
        <v>606</v>
      </c>
      <c r="AE58">
        <f>(AE6-AE34)/(AE6-25)</f>
        <v>0.58736734693877557</v>
      </c>
      <c r="AH58" s="25" t="s">
        <v>606</v>
      </c>
      <c r="AI58">
        <f>(AI6-AI34)/(AI6-25)</f>
        <v>0.57338820301783266</v>
      </c>
      <c r="AL58" s="25" t="s">
        <v>606</v>
      </c>
      <c r="AM58">
        <f>(AM6-AM34)/(AM6-25)</f>
        <v>0.56434911242603547</v>
      </c>
    </row>
    <row r="59" spans="2:40" x14ac:dyDescent="0.25">
      <c r="B59" s="25" t="s">
        <v>607</v>
      </c>
      <c r="C59">
        <f>C58*C56</f>
        <v>7459.3370406122403</v>
      </c>
      <c r="D59" s="25" t="s">
        <v>87</v>
      </c>
      <c r="F59" s="25" t="s">
        <v>607</v>
      </c>
      <c r="G59">
        <f>G58*G56</f>
        <v>3580.4143649045468</v>
      </c>
      <c r="H59" s="25" t="s">
        <v>87</v>
      </c>
      <c r="J59" s="25" t="s">
        <v>607</v>
      </c>
      <c r="K59">
        <f>K58*K56</f>
        <v>477.85466907345625</v>
      </c>
      <c r="L59" s="25" t="s">
        <v>87</v>
      </c>
      <c r="N59" s="25" t="s">
        <v>607</v>
      </c>
      <c r="O59">
        <f>O58*O56</f>
        <v>2781.4638269933175</v>
      </c>
      <c r="P59" s="25" t="s">
        <v>87</v>
      </c>
      <c r="R59" s="25" t="s">
        <v>607</v>
      </c>
      <c r="S59">
        <f>S58*S56</f>
        <v>648.53033758064407</v>
      </c>
      <c r="T59" s="25" t="s">
        <v>87</v>
      </c>
      <c r="V59" s="25" t="s">
        <v>607</v>
      </c>
      <c r="W59">
        <f>W58*W56</f>
        <v>577.30730239945672</v>
      </c>
      <c r="X59" s="25" t="s">
        <v>87</v>
      </c>
      <c r="Z59" s="25" t="s">
        <v>607</v>
      </c>
      <c r="AA59">
        <f>AA58*AA56</f>
        <v>860.58347033971756</v>
      </c>
      <c r="AB59" s="25" t="s">
        <v>87</v>
      </c>
      <c r="AD59" s="25" t="s">
        <v>607</v>
      </c>
      <c r="AE59">
        <f>AE58*AE56</f>
        <v>333.35853589980303</v>
      </c>
      <c r="AF59" s="25" t="s">
        <v>87</v>
      </c>
      <c r="AH59" s="25" t="s">
        <v>607</v>
      </c>
      <c r="AI59">
        <f>AI58*AI56</f>
        <v>245.57309712302285</v>
      </c>
      <c r="AJ59" s="25" t="s">
        <v>87</v>
      </c>
      <c r="AL59" s="25" t="s">
        <v>607</v>
      </c>
      <c r="AM59">
        <f>AM58*AM56</f>
        <v>252.75436359639917</v>
      </c>
      <c r="AN59" s="25" t="s">
        <v>87</v>
      </c>
    </row>
    <row r="61" spans="2:40" x14ac:dyDescent="0.25">
      <c r="B61" s="25" t="s">
        <v>608</v>
      </c>
      <c r="C61">
        <f>C59/'Design Calculator'!F52</f>
        <v>2.005198129196839</v>
      </c>
      <c r="F61" s="25" t="s">
        <v>608</v>
      </c>
      <c r="G61">
        <f>G59/'Design Calculator'!F52</f>
        <v>0.96247697981305036</v>
      </c>
      <c r="J61" s="25" t="s">
        <v>608</v>
      </c>
      <c r="K61">
        <f>K59/'Design Calculator'!F52</f>
        <v>0.12845555620254201</v>
      </c>
      <c r="N61" s="25" t="s">
        <v>608</v>
      </c>
      <c r="O61">
        <f>O59/'Design Calculator'!F52</f>
        <v>0.7477053298369134</v>
      </c>
      <c r="R61" s="25" t="s">
        <v>608</v>
      </c>
      <c r="S61">
        <f>S59/'Design Calculator'!F52</f>
        <v>0.17433611225286133</v>
      </c>
      <c r="V61" s="25" t="s">
        <v>608</v>
      </c>
      <c r="W61">
        <f>W59/'Design Calculator'!F52</f>
        <v>0.15519013505361742</v>
      </c>
      <c r="Z61" s="25" t="s">
        <v>608</v>
      </c>
      <c r="AA61">
        <f>AA59/'Design Calculator'!F52</f>
        <v>0.23133964256444023</v>
      </c>
      <c r="AD61" s="25" t="s">
        <v>608</v>
      </c>
      <c r="AE61">
        <f>AE59/'Design Calculator'!F52</f>
        <v>8.9612509650484701E-2</v>
      </c>
      <c r="AH61" s="25" t="s">
        <v>608</v>
      </c>
      <c r="AI61">
        <f>AI59/'Design Calculator'!F52</f>
        <v>6.6014273420167441E-2</v>
      </c>
      <c r="AL61" s="25" t="s">
        <v>608</v>
      </c>
      <c r="AM61">
        <f>AM59/'Design Calculator'!F52</f>
        <v>6.7944721396881513E-2</v>
      </c>
    </row>
    <row r="63" spans="2:40" x14ac:dyDescent="0.25">
      <c r="B63" s="25" t="s">
        <v>609</v>
      </c>
      <c r="C63">
        <f>IF(C61&gt;1.3,1,0)</f>
        <v>1</v>
      </c>
      <c r="F63" s="25" t="s">
        <v>609</v>
      </c>
      <c r="G63">
        <f>IF(G61&gt;1.3,1,0)</f>
        <v>0</v>
      </c>
      <c r="J63" s="25" t="s">
        <v>609</v>
      </c>
      <c r="K63">
        <f>IF(K61&gt;1.3,1,0)</f>
        <v>0</v>
      </c>
      <c r="N63" s="25" t="s">
        <v>609</v>
      </c>
      <c r="O63">
        <f>IF(O61&gt;1.3,1,0)</f>
        <v>0</v>
      </c>
      <c r="R63" s="25" t="s">
        <v>609</v>
      </c>
      <c r="S63">
        <f>IF(S61&gt;1.3,1,0)</f>
        <v>0</v>
      </c>
      <c r="V63" s="25" t="s">
        <v>609</v>
      </c>
      <c r="W63">
        <f>IF(W61&gt;1.3,1,0)</f>
        <v>0</v>
      </c>
      <c r="Z63" s="25" t="s">
        <v>609</v>
      </c>
      <c r="AA63">
        <f>IF(AA61&gt;1.3,1,0)</f>
        <v>0</v>
      </c>
      <c r="AD63" s="25" t="s">
        <v>609</v>
      </c>
      <c r="AE63">
        <f>IF(AE61&gt;1.3,1,0)</f>
        <v>0</v>
      </c>
      <c r="AH63" s="25" t="s">
        <v>609</v>
      </c>
      <c r="AI63">
        <f>IF(AI61&gt;1.3,1,0)</f>
        <v>0</v>
      </c>
      <c r="AL63" s="25" t="s">
        <v>609</v>
      </c>
      <c r="AM63">
        <f>IF(AM61&gt;1.3,1,0)</f>
        <v>0</v>
      </c>
    </row>
    <row r="64" spans="2:40" x14ac:dyDescent="0.25">
      <c r="C64">
        <f>COLUMN()</f>
        <v>3</v>
      </c>
      <c r="G64">
        <f>COLUMN()</f>
        <v>7</v>
      </c>
      <c r="K64">
        <f>COLUMN()</f>
        <v>11</v>
      </c>
      <c r="O64">
        <f>COLUMN()</f>
        <v>15</v>
      </c>
      <c r="S64">
        <f>COLUMN()</f>
        <v>19</v>
      </c>
      <c r="W64">
        <f>COLUMN()</f>
        <v>23</v>
      </c>
      <c r="AA64">
        <f>COLUMN()</f>
        <v>27</v>
      </c>
      <c r="AE64">
        <f>COLUMN()</f>
        <v>31</v>
      </c>
      <c r="AI64">
        <f>COLUMN()</f>
        <v>35</v>
      </c>
      <c r="AM64">
        <f>COLUMN()</f>
        <v>39</v>
      </c>
    </row>
    <row r="67" spans="2:8" x14ac:dyDescent="0.25">
      <c r="B67" s="25" t="s">
        <v>610</v>
      </c>
      <c r="C67" t="str">
        <f>LEFT('Design Calculator'!F54,FIND(" ",'Design Calculator'!F54)-1)</f>
        <v>CSD19536KTT</v>
      </c>
      <c r="F67" s="25" t="s">
        <v>611</v>
      </c>
      <c r="G67" t="str">
        <f>LEFT('Design Calculator'!G54,FIND(" ",'Design Calculator'!G54)-1)</f>
        <v>CSD19535KTT</v>
      </c>
    </row>
    <row r="68" spans="2:8" x14ac:dyDescent="0.25">
      <c r="B68" s="25" t="s">
        <v>613</v>
      </c>
      <c r="C68">
        <f>MATCH(SFET48_1,B4:AM4,0)+2</f>
        <v>3</v>
      </c>
      <c r="F68" s="25" t="s">
        <v>613</v>
      </c>
      <c r="G68">
        <f>MATCH(SFET48_2,B4:AM4,0)+2</f>
        <v>7</v>
      </c>
    </row>
    <row r="70" spans="2:8" x14ac:dyDescent="0.25">
      <c r="B70">
        <v>0.01</v>
      </c>
      <c r="C70">
        <f ca="1">INDIRECT(ADDRESS(39,C68))</f>
        <v>400</v>
      </c>
      <c r="D70" s="25" t="s">
        <v>25</v>
      </c>
      <c r="F70">
        <v>0.01</v>
      </c>
      <c r="G70">
        <f ca="1">INDIRECT(ADDRESS(39,G68))</f>
        <v>400</v>
      </c>
      <c r="H70" s="25" t="s">
        <v>25</v>
      </c>
    </row>
    <row r="71" spans="2:8" x14ac:dyDescent="0.25">
      <c r="B71">
        <v>0.1</v>
      </c>
      <c r="C71">
        <f ca="1">INDIRECT(ADDRESS(40,C68))</f>
        <v>102.96332787594578</v>
      </c>
      <c r="D71" s="25" t="s">
        <v>25</v>
      </c>
      <c r="F71">
        <v>0.1</v>
      </c>
      <c r="G71">
        <f ca="1">INDIRECT(ADDRESS(40,G68))</f>
        <v>37.376167055797616</v>
      </c>
      <c r="H71" s="25" t="s">
        <v>25</v>
      </c>
    </row>
    <row r="72" spans="2:8" x14ac:dyDescent="0.25">
      <c r="B72">
        <v>1</v>
      </c>
      <c r="C72" s="25">
        <f ca="1">INDIRECT(ADDRESS(41,C68))</f>
        <v>9.3925961370914308</v>
      </c>
      <c r="D72" s="25" t="s">
        <v>25</v>
      </c>
      <c r="F72">
        <v>1</v>
      </c>
      <c r="G72" s="25">
        <f ca="1">INDIRECT(ADDRESS(41,G68))</f>
        <v>4.9912624244628025</v>
      </c>
      <c r="H72" s="25" t="s">
        <v>25</v>
      </c>
    </row>
    <row r="73" spans="2:8" x14ac:dyDescent="0.25">
      <c r="B73">
        <v>10</v>
      </c>
      <c r="C73">
        <f ca="1">INDIRECT(ADDRESS(42,C68))</f>
        <v>2.9226229456700832</v>
      </c>
      <c r="D73" s="25" t="s">
        <v>25</v>
      </c>
      <c r="F73">
        <v>10</v>
      </c>
      <c r="G73">
        <f ca="1">INDIRECT(ADDRESS(42,G68))</f>
        <v>1.4889765059976743</v>
      </c>
      <c r="H73" s="25" t="s">
        <v>25</v>
      </c>
    </row>
    <row r="74" spans="2:8" x14ac:dyDescent="0.25">
      <c r="B74">
        <v>100</v>
      </c>
      <c r="C74">
        <f ca="1">INDIRECT(ADDRESS(43,C68))</f>
        <v>1.4911781555733927</v>
      </c>
      <c r="D74" s="25" t="s">
        <v>25</v>
      </c>
      <c r="F74">
        <v>100</v>
      </c>
      <c r="G74">
        <f ca="1">INDIRECT(ADDRESS(43,G68))</f>
        <v>0.87369384035738873</v>
      </c>
      <c r="H74" s="25" t="s">
        <v>25</v>
      </c>
    </row>
    <row r="76" spans="2:8" x14ac:dyDescent="0.25">
      <c r="B76" t="s">
        <v>614</v>
      </c>
      <c r="C76">
        <f ca="1">INDIRECT(ADDRESS(33,C68))</f>
        <v>0.21833333333333332</v>
      </c>
      <c r="D76" t="s">
        <v>87</v>
      </c>
      <c r="F76" t="s">
        <v>614</v>
      </c>
      <c r="G76">
        <f ca="1">INDIRECT(ADDRESS(33,G68))</f>
        <v>0.24459183673469387</v>
      </c>
      <c r="H76" t="s">
        <v>87</v>
      </c>
    </row>
    <row r="77" spans="2:8" x14ac:dyDescent="0.25">
      <c r="B77" t="s">
        <v>593</v>
      </c>
      <c r="C77">
        <f ca="1">INDIRECT(ADDRESS(32,C68))</f>
        <v>6</v>
      </c>
      <c r="F77" t="s">
        <v>593</v>
      </c>
      <c r="G77">
        <f ca="1">INDIRECT(ADDRESS(32,G68))</f>
        <v>7</v>
      </c>
    </row>
    <row r="78" spans="2:8" ht="13.8" x14ac:dyDescent="0.3">
      <c r="B78" t="s">
        <v>163</v>
      </c>
      <c r="C78" s="25">
        <f ca="1">INDIRECT(ADDRESS(34,C68))</f>
        <v>71.833333333333329</v>
      </c>
      <c r="D78" s="25" t="s">
        <v>554</v>
      </c>
      <c r="F78" t="s">
        <v>163</v>
      </c>
      <c r="G78" s="25">
        <f ca="1">INDIRECT(ADDRESS(34,G68))</f>
        <v>74.459183673469383</v>
      </c>
      <c r="H78" s="25" t="s">
        <v>554</v>
      </c>
    </row>
    <row r="79" spans="2:8" ht="13.8" x14ac:dyDescent="0.3">
      <c r="B79" t="s">
        <v>553</v>
      </c>
      <c r="C79">
        <f ca="1">INDIRECT(ADDRESS(6,C68))</f>
        <v>175</v>
      </c>
      <c r="D79" s="25" t="s">
        <v>554</v>
      </c>
      <c r="F79" t="s">
        <v>553</v>
      </c>
      <c r="G79">
        <f ca="1">INDIRECT(ADDRESS(6,G68))</f>
        <v>175</v>
      </c>
      <c r="H79" s="25" t="s">
        <v>554</v>
      </c>
    </row>
    <row r="80" spans="2:8" ht="13.8" x14ac:dyDescent="0.3">
      <c r="B80" t="s">
        <v>615</v>
      </c>
      <c r="C80">
        <f ca="1">INDIRECT(ADDRESS(7,C68))*INDIRECT(ADDRESS(29,C68))</f>
        <v>3.1440000000000001</v>
      </c>
      <c r="D80" s="25" t="s">
        <v>556</v>
      </c>
      <c r="F80" t="s">
        <v>615</v>
      </c>
      <c r="G80">
        <f ca="1">INDIRECT(ADDRESS(7,G68))*INDIRECT(ADDRESS(29,G68))</f>
        <v>4.7939999999999996</v>
      </c>
      <c r="H80" s="25" t="s">
        <v>556</v>
      </c>
    </row>
    <row r="81" spans="2:8" x14ac:dyDescent="0.25">
      <c r="B81" t="s">
        <v>608</v>
      </c>
      <c r="C81">
        <f ca="1">INDIRECT(ADDRESS(61,C68))</f>
        <v>2.005198129196839</v>
      </c>
      <c r="F81" t="s">
        <v>608</v>
      </c>
      <c r="G81">
        <f ca="1">INDIRECT(ADDRESS(61,G68))</f>
        <v>0.96247697981305036</v>
      </c>
    </row>
    <row r="82" spans="2:8" x14ac:dyDescent="0.25">
      <c r="B82" t="s">
        <v>616</v>
      </c>
      <c r="C82" s="240" t="str">
        <f ca="1">HYPERLINK(INDIRECT(ADDRESS(5,C68)))</f>
        <v>https://www.ti.com/product/CSD19536KTT</v>
      </c>
      <c r="F82" t="s">
        <v>616</v>
      </c>
      <c r="G82" s="240" t="str">
        <f ca="1">HYPERLINK(INDIRECT(ADDRESS(5,G68)))</f>
        <v>https://www.ti.com/product/CSD19535KTT</v>
      </c>
    </row>
    <row r="83" spans="2:8" x14ac:dyDescent="0.25">
      <c r="B83" t="s">
        <v>617</v>
      </c>
      <c r="C83" s="240" t="str">
        <f ca="1">HYPERLINK(INDIRECT(ADDRESS(30,C68)))</f>
        <v>https://www.ti.com/lit/gpn/csd19536ktt</v>
      </c>
      <c r="F83" t="s">
        <v>617</v>
      </c>
      <c r="G83" s="240" t="str">
        <f ca="1">HYPERLINK(INDIRECT(ADDRESS(30,G68)))</f>
        <v>https://www.ti.com/lit/gpn/csd19535ktt</v>
      </c>
    </row>
    <row r="84" spans="2:8" x14ac:dyDescent="0.25">
      <c r="B84" t="s">
        <v>597</v>
      </c>
      <c r="C84">
        <f ca="1">INDIRECT(ADDRESS(35,C68))</f>
        <v>1.972</v>
      </c>
      <c r="D84" s="25" t="s">
        <v>618</v>
      </c>
      <c r="F84" t="s">
        <v>597</v>
      </c>
      <c r="G84">
        <f ca="1">INDIRECT(ADDRESS(35,G68))</f>
        <v>1.3129999999999999</v>
      </c>
      <c r="H84" s="25" t="s">
        <v>618</v>
      </c>
    </row>
  </sheetData>
  <phoneticPr fontId="58" type="noConversion"/>
  <conditionalFormatting sqref="B27:B28">
    <cfRule type="expression" dxfId="19" priority="19">
      <formula>#REF!="No"</formula>
    </cfRule>
    <cfRule type="expression" dxfId="18" priority="20">
      <formula>#REF!="No"</formula>
    </cfRule>
  </conditionalFormatting>
  <conditionalFormatting sqref="F27:F28">
    <cfRule type="expression" dxfId="17" priority="17">
      <formula>#REF!="No"</formula>
    </cfRule>
    <cfRule type="expression" dxfId="16" priority="18">
      <formula>#REF!="No"</formula>
    </cfRule>
  </conditionalFormatting>
  <conditionalFormatting sqref="J27:J28">
    <cfRule type="expression" dxfId="15" priority="15">
      <formula>#REF!="No"</formula>
    </cfRule>
    <cfRule type="expression" dxfId="14" priority="16">
      <formula>#REF!="No"</formula>
    </cfRule>
  </conditionalFormatting>
  <conditionalFormatting sqref="N27:N28">
    <cfRule type="expression" dxfId="13" priority="13">
      <formula>#REF!="No"</formula>
    </cfRule>
    <cfRule type="expression" dxfId="12" priority="14">
      <formula>#REF!="No"</formula>
    </cfRule>
  </conditionalFormatting>
  <conditionalFormatting sqref="R27:R28">
    <cfRule type="expression" dxfId="11" priority="11">
      <formula>#REF!="No"</formula>
    </cfRule>
    <cfRule type="expression" dxfId="10" priority="12">
      <formula>#REF!="No"</formula>
    </cfRule>
  </conditionalFormatting>
  <conditionalFormatting sqref="V27:V28">
    <cfRule type="expression" dxfId="9" priority="9">
      <formula>#REF!="No"</formula>
    </cfRule>
    <cfRule type="expression" dxfId="8" priority="10">
      <formula>#REF!="No"</formula>
    </cfRule>
  </conditionalFormatting>
  <conditionalFormatting sqref="Z27:Z28">
    <cfRule type="expression" dxfId="7" priority="7">
      <formula>#REF!="No"</formula>
    </cfRule>
    <cfRule type="expression" dxfId="6" priority="8">
      <formula>#REF!="No"</formula>
    </cfRule>
  </conditionalFormatting>
  <conditionalFormatting sqref="AD27:AD28">
    <cfRule type="expression" dxfId="5" priority="5">
      <formula>#REF!="No"</formula>
    </cfRule>
    <cfRule type="expression" dxfId="4" priority="6">
      <formula>#REF!="No"</formula>
    </cfRule>
  </conditionalFormatting>
  <conditionalFormatting sqref="AH27:AH28">
    <cfRule type="expression" dxfId="3" priority="3">
      <formula>#REF!="No"</formula>
    </cfRule>
    <cfRule type="expression" dxfId="2" priority="4">
      <formula>#REF!="No"</formula>
    </cfRule>
  </conditionalFormatting>
  <conditionalFormatting sqref="AL27:AL28">
    <cfRule type="expression" dxfId="1" priority="1">
      <formula>#REF!="No"</formula>
    </cfRule>
    <cfRule type="expression" dxfId="0" priority="2">
      <formula>#REF!="No"</formula>
    </cfRule>
  </conditionalFormatting>
  <hyperlinks>
    <hyperlink ref="C5" r:id="rId1" xr:uid="{F0584FB0-DB4D-4220-B434-5D683AF716C8}"/>
    <hyperlink ref="C30" r:id="rId2" xr:uid="{8DBCA326-DE68-488B-B1BF-2469814F99F6}"/>
    <hyperlink ref="G5" r:id="rId3" xr:uid="{37C3B7D2-C9DB-4191-A466-63BF548C2B01}"/>
    <hyperlink ref="G30" r:id="rId4" xr:uid="{437348AF-DB5C-4CF0-B3C1-7B188341F812}"/>
    <hyperlink ref="K5" r:id="rId5" xr:uid="{63462061-B2DE-40AE-B23C-0155D44BE404}"/>
    <hyperlink ref="K30" r:id="rId6" xr:uid="{C13B5B59-02C6-41D8-AA25-482C242C4A56}"/>
    <hyperlink ref="O5" r:id="rId7" xr:uid="{60867797-3E95-413D-B47D-960BDBAE2F1F}"/>
    <hyperlink ref="O30" r:id="rId8" xr:uid="{EB573DE0-0455-4A9D-B6E1-AC5648D97990}"/>
    <hyperlink ref="S5" r:id="rId9" xr:uid="{408A4B02-8429-4221-AE6D-20AFCFDD3879}"/>
    <hyperlink ref="S30" r:id="rId10" xr:uid="{58DDE832-64B1-496A-9ABC-36D14CAB4047}"/>
    <hyperlink ref="W5" r:id="rId11" xr:uid="{F180E2BE-09BE-4885-B19C-AE0C6CC0309D}"/>
    <hyperlink ref="W30" r:id="rId12" xr:uid="{F37E4821-3027-4C6A-8BE8-CBFC7ABDD9E1}"/>
    <hyperlink ref="AA5" r:id="rId13" xr:uid="{C3A3B7D7-DF7C-4856-9D99-E5DF53372E70}"/>
    <hyperlink ref="AA30" r:id="rId14" xr:uid="{AEE18095-E2A6-4CC0-8F97-F3B2DC5E39B0}"/>
    <hyperlink ref="AE5" r:id="rId15" xr:uid="{DAB09F50-C39C-4BBA-AC0E-84D17D80B935}"/>
    <hyperlink ref="AE30" r:id="rId16" xr:uid="{AAB2E835-895E-4DFA-A04B-F6BC6A9BC207}"/>
    <hyperlink ref="AI5" r:id="rId17" xr:uid="{436F469B-6849-45C3-8052-D2F73E569842}"/>
    <hyperlink ref="AI30" r:id="rId18" xr:uid="{F2F49B93-53A0-4C65-B2C4-830EBB39026E}"/>
    <hyperlink ref="AM5" r:id="rId19" xr:uid="{974D0ABA-439E-4E78-A89D-CC6EEA8EEB02}"/>
    <hyperlink ref="AM30" r:id="rId20" xr:uid="{C0D3D5C5-486A-454E-8563-4B1C021B29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115"/>
  <sheetViews>
    <sheetView zoomScale="70" zoomScaleNormal="70" workbookViewId="0">
      <selection activeCell="K10" sqref="K10"/>
    </sheetView>
  </sheetViews>
  <sheetFormatPr defaultColWidth="9.21875" defaultRowHeight="13.2" x14ac:dyDescent="0.25"/>
  <cols>
    <col min="1" max="1" width="11" style="59" customWidth="1"/>
    <col min="2" max="3" width="9.21875" style="59"/>
    <col min="4" max="5" width="15" style="59" customWidth="1"/>
    <col min="6" max="6" width="15.44140625" style="59" customWidth="1"/>
    <col min="7" max="7" width="14.77734375" style="59" customWidth="1"/>
    <col min="8" max="8" width="10.77734375" style="59" customWidth="1"/>
    <col min="9" max="9" width="12.44140625" style="59" bestFit="1" customWidth="1"/>
    <col min="10" max="10" width="14.77734375" style="59" customWidth="1"/>
    <col min="11" max="11" width="12.77734375" style="59" customWidth="1"/>
    <col min="12" max="12" width="14.21875" style="59" customWidth="1"/>
    <col min="13" max="13" width="20.77734375" style="59" customWidth="1"/>
    <col min="14" max="14" width="12.77734375" style="59" customWidth="1"/>
    <col min="15" max="15" width="10.21875" style="59" bestFit="1" customWidth="1"/>
    <col min="16" max="16" width="18.77734375" style="59" customWidth="1"/>
    <col min="17" max="17" width="10.77734375" style="59" customWidth="1"/>
    <col min="18" max="16384" width="9.21875" style="59"/>
  </cols>
  <sheetData>
    <row r="1" spans="1:25" x14ac:dyDescent="0.25">
      <c r="B1" s="59" t="s">
        <v>140</v>
      </c>
      <c r="C1" s="59" t="s">
        <v>289</v>
      </c>
      <c r="D1" s="59" t="s">
        <v>290</v>
      </c>
      <c r="F1" s="139" t="s">
        <v>324</v>
      </c>
      <c r="G1" s="139" t="s">
        <v>291</v>
      </c>
      <c r="H1" s="139" t="s">
        <v>292</v>
      </c>
      <c r="I1" s="139" t="s">
        <v>293</v>
      </c>
      <c r="J1" s="139" t="s">
        <v>294</v>
      </c>
      <c r="K1" s="139"/>
      <c r="L1" s="139"/>
      <c r="M1" s="139" t="s">
        <v>298</v>
      </c>
      <c r="N1" s="139"/>
      <c r="O1" s="139" t="s">
        <v>299</v>
      </c>
      <c r="Q1" s="59" t="s">
        <v>339</v>
      </c>
      <c r="R1" s="59" t="s">
        <v>340</v>
      </c>
    </row>
    <row r="2" spans="1:25" x14ac:dyDescent="0.25">
      <c r="B2" s="133">
        <f>'Design Calculator'!F52</f>
        <v>3719.9999999999995</v>
      </c>
      <c r="C2" s="59">
        <f>'Design Calculator'!F42</f>
        <v>260</v>
      </c>
      <c r="D2" s="59" t="str">
        <f>IF( 'Design Calculator'!F28 = "Constant Current", "CC", "R")</f>
        <v>CC</v>
      </c>
      <c r="F2" s="59" t="str">
        <f>'Design Calculator'!F30</f>
        <v>Soft Start</v>
      </c>
      <c r="G2" s="59">
        <f>'Design Calculator'!F29</f>
        <v>10</v>
      </c>
      <c r="H2" s="59">
        <f>'Design Calculator'!F27</f>
        <v>40</v>
      </c>
      <c r="I2" s="59">
        <f>RsEFF</f>
        <v>0.1</v>
      </c>
      <c r="J2" s="59">
        <f>'Device Parameters'!E12</f>
        <v>1E-3</v>
      </c>
      <c r="M2" s="133">
        <f>J114*1000</f>
        <v>350.00000000000023</v>
      </c>
      <c r="N2" s="59" t="s">
        <v>8</v>
      </c>
      <c r="O2" s="136">
        <f>MIN(L10:L111)</f>
        <v>0.81481481481481477</v>
      </c>
      <c r="Q2" s="59">
        <f>'Device Parameters'!E30/'Device Parameters'!D30</f>
        <v>2</v>
      </c>
      <c r="R2" s="59">
        <f>'Device Parameters'!C30/'Device Parameters'!D30</f>
        <v>0.375</v>
      </c>
    </row>
    <row r="3" spans="1:25" x14ac:dyDescent="0.25">
      <c r="B3" s="133"/>
      <c r="M3" s="133"/>
      <c r="O3" s="136"/>
    </row>
    <row r="4" spans="1:25" x14ac:dyDescent="0.25">
      <c r="B4" s="133"/>
      <c r="D4" s="59" t="s">
        <v>331</v>
      </c>
      <c r="M4" s="133" t="s">
        <v>332</v>
      </c>
      <c r="N4" s="59">
        <f>MIN(M10:M114)</f>
        <v>0.12077922077922076</v>
      </c>
      <c r="O4" s="136" t="s">
        <v>328</v>
      </c>
      <c r="P4" s="59" t="s">
        <v>341</v>
      </c>
      <c r="Q4" s="59">
        <f>MAX(O10:O114)</f>
        <v>3080</v>
      </c>
      <c r="R4" s="59" t="s">
        <v>87</v>
      </c>
    </row>
    <row r="5" spans="1:25" x14ac:dyDescent="0.25">
      <c r="B5" s="133"/>
      <c r="M5" s="59" t="s">
        <v>333</v>
      </c>
      <c r="N5" s="59">
        <f>SUM(N10:N114)</f>
        <v>556.2424186390532</v>
      </c>
      <c r="O5" s="136" t="s">
        <v>334</v>
      </c>
      <c r="P5" s="59" t="s">
        <v>343</v>
      </c>
      <c r="Q5" s="59">
        <f>MAX(P10:P114)</f>
        <v>6160</v>
      </c>
      <c r="R5" s="59" t="s">
        <v>87</v>
      </c>
    </row>
    <row r="6" spans="1:25" x14ac:dyDescent="0.25">
      <c r="P6" s="59" t="s">
        <v>342</v>
      </c>
      <c r="Q6" s="59">
        <f>MAX(Q10:Q114)</f>
        <v>1155</v>
      </c>
      <c r="R6" s="59" t="s">
        <v>87</v>
      </c>
    </row>
    <row r="7" spans="1:25" x14ac:dyDescent="0.25">
      <c r="A7" s="134" t="s">
        <v>164</v>
      </c>
      <c r="B7" s="135" t="s">
        <v>134</v>
      </c>
      <c r="C7" s="135" t="s">
        <v>135</v>
      </c>
      <c r="D7" s="135" t="s">
        <v>140</v>
      </c>
      <c r="E7" s="135" t="s">
        <v>322</v>
      </c>
      <c r="F7" s="135" t="s">
        <v>323</v>
      </c>
      <c r="G7" s="135" t="s">
        <v>296</v>
      </c>
      <c r="H7" s="135" t="s">
        <v>162</v>
      </c>
      <c r="I7" s="135" t="s">
        <v>295</v>
      </c>
      <c r="J7" s="135" t="s">
        <v>145</v>
      </c>
      <c r="K7" s="135" t="s">
        <v>372</v>
      </c>
      <c r="L7" s="134" t="s">
        <v>297</v>
      </c>
      <c r="M7" s="134" t="s">
        <v>335</v>
      </c>
      <c r="N7" s="134" t="s">
        <v>371</v>
      </c>
      <c r="O7" s="134" t="s">
        <v>336</v>
      </c>
      <c r="P7" s="59" t="s">
        <v>337</v>
      </c>
      <c r="Q7" s="59" t="s">
        <v>338</v>
      </c>
    </row>
    <row r="8" spans="1:25" x14ac:dyDescent="0.25">
      <c r="A8" s="134"/>
      <c r="B8" s="135"/>
      <c r="C8" s="135"/>
      <c r="D8" s="135"/>
      <c r="E8" s="135"/>
      <c r="F8" s="135"/>
      <c r="G8" s="135"/>
      <c r="H8" s="135"/>
      <c r="I8" s="135"/>
      <c r="J8" s="135"/>
      <c r="K8" s="173">
        <v>-1</v>
      </c>
      <c r="L8" s="134"/>
      <c r="M8" s="134"/>
      <c r="N8" s="134"/>
      <c r="O8" s="59">
        <v>0</v>
      </c>
    </row>
    <row r="9" spans="1:25" x14ac:dyDescent="0.25">
      <c r="A9" s="134"/>
      <c r="B9" s="135"/>
      <c r="C9" s="135"/>
      <c r="D9" s="135"/>
      <c r="E9" s="135"/>
      <c r="F9" s="135"/>
      <c r="G9" s="135"/>
      <c r="H9" s="135"/>
      <c r="I9" s="135"/>
      <c r="J9" s="135"/>
      <c r="K9" s="65">
        <v>-0.01</v>
      </c>
      <c r="L9" s="134"/>
      <c r="M9" s="134"/>
      <c r="N9" s="134"/>
      <c r="O9" s="59">
        <v>0</v>
      </c>
    </row>
    <row r="10" spans="1:25" x14ac:dyDescent="0.25">
      <c r="A10" s="59">
        <f t="shared" ref="A10:A41" si="0">VINMAX</f>
        <v>70</v>
      </c>
      <c r="B10" s="62">
        <f t="shared" ref="B10:B41" si="1">VINMAX*((ROW()-10)/104)</f>
        <v>0</v>
      </c>
      <c r="C10" s="60">
        <f t="shared" ref="C10:C41" si="2">IF(B10&gt;=$H$2,IF($D$2="CC", $G$2, B10/$G$2), 0)</f>
        <v>0</v>
      </c>
      <c r="D10" s="65">
        <f>B2</f>
        <v>3719.9999999999995</v>
      </c>
      <c r="E10" s="58">
        <f>MIN(D10/(A10-B10),$C$2)</f>
        <v>53.142857142857139</v>
      </c>
      <c r="F10" s="60">
        <f>I_Cout_ss+C10</f>
        <v>44</v>
      </c>
      <c r="G10" s="58">
        <f>IF($F$2="Soft Start", F10, E10)</f>
        <v>44</v>
      </c>
      <c r="H10" s="60">
        <f t="shared" ref="H10:H41" si="3">G10-C10</f>
        <v>44</v>
      </c>
      <c r="I10" s="61">
        <f>(COUTMAX/1000000)*(B10)/H10</f>
        <v>0</v>
      </c>
      <c r="J10" s="61">
        <f>I10</f>
        <v>0</v>
      </c>
      <c r="K10" s="173">
        <f>J10*1000</f>
        <v>0</v>
      </c>
      <c r="L10" s="136">
        <f>H10/G10</f>
        <v>1</v>
      </c>
      <c r="M10" s="59">
        <f t="shared" ref="M10:M41" si="4">1/COUTMAX*(E10/2-C10)*1000</f>
        <v>0.12077922077922076</v>
      </c>
      <c r="N10" s="59">
        <f>I10*G10*(A10-B10)</f>
        <v>0</v>
      </c>
      <c r="O10" s="59">
        <f>G10*(A10-B10)</f>
        <v>3080</v>
      </c>
      <c r="P10" s="59">
        <f t="shared" ref="P10:P41" si="5">(A10-B10)*(I_Cout_ss*$Q$2+C10)</f>
        <v>6160</v>
      </c>
      <c r="Q10" s="59">
        <f t="shared" ref="Q10:Q41" si="6">(A10-B10)*(I_Cout_ss*$R$2+C10)</f>
        <v>1155</v>
      </c>
    </row>
    <row r="11" spans="1:25" x14ac:dyDescent="0.25">
      <c r="A11" s="59">
        <f t="shared" si="0"/>
        <v>70</v>
      </c>
      <c r="B11" s="62">
        <f t="shared" si="1"/>
        <v>0.67307692307692313</v>
      </c>
      <c r="C11" s="60">
        <f t="shared" si="2"/>
        <v>0</v>
      </c>
      <c r="D11" s="65">
        <f>B2</f>
        <v>3719.9999999999995</v>
      </c>
      <c r="E11" s="58">
        <f t="shared" ref="E11:E74" si="7">MIN(D11/(A11-B11),$C$2)</f>
        <v>53.658807212205261</v>
      </c>
      <c r="F11" s="60">
        <f t="shared" ref="F11:F41" si="8">I_Cout_ss+C11</f>
        <v>44</v>
      </c>
      <c r="G11" s="58">
        <f t="shared" ref="G11:G74" si="9">IF($F$2="Soft Start", F11, E11)</f>
        <v>44</v>
      </c>
      <c r="H11" s="60">
        <f t="shared" si="3"/>
        <v>44</v>
      </c>
      <c r="I11" s="61">
        <f t="shared" ref="I11:I42" si="10">(COUTMAX/1000000)*(B11-B10)/H11</f>
        <v>3.3653846153846156E-3</v>
      </c>
      <c r="J11" s="61">
        <f>J10+I11</f>
        <v>3.3653846153846156E-3</v>
      </c>
      <c r="K11" s="173">
        <f t="shared" ref="K11:K74" si="11">J11*1000</f>
        <v>3.3653846153846154</v>
      </c>
      <c r="L11" s="136">
        <f t="shared" ref="L11:L74" si="12">H11/G11</f>
        <v>1</v>
      </c>
      <c r="M11" s="59">
        <f t="shared" si="4"/>
        <v>0.12195183457319378</v>
      </c>
      <c r="N11" s="59">
        <f t="shared" ref="N11:N13" si="13">I11*G11*(A11-B11)</f>
        <v>10.265717455621303</v>
      </c>
      <c r="O11" s="59">
        <f t="shared" ref="O11:O74" si="14">G11*(A11-B11)</f>
        <v>3050.3846153846157</v>
      </c>
      <c r="P11" s="59">
        <f t="shared" si="5"/>
        <v>6100.7692307692314</v>
      </c>
      <c r="Q11" s="59">
        <f t="shared" si="6"/>
        <v>1143.8942307692307</v>
      </c>
    </row>
    <row r="12" spans="1:25" x14ac:dyDescent="0.25">
      <c r="A12" s="59">
        <f t="shared" si="0"/>
        <v>70</v>
      </c>
      <c r="B12" s="62">
        <f t="shared" si="1"/>
        <v>1.3461538461538463</v>
      </c>
      <c r="C12" s="60">
        <f t="shared" si="2"/>
        <v>0</v>
      </c>
      <c r="D12" s="65">
        <f>B2</f>
        <v>3719.9999999999995</v>
      </c>
      <c r="E12" s="58">
        <f t="shared" si="7"/>
        <v>54.184873949579817</v>
      </c>
      <c r="F12" s="60">
        <f t="shared" si="8"/>
        <v>44</v>
      </c>
      <c r="G12" s="58">
        <f t="shared" si="9"/>
        <v>44</v>
      </c>
      <c r="H12" s="60">
        <f t="shared" si="3"/>
        <v>44</v>
      </c>
      <c r="I12" s="61">
        <f t="shared" si="10"/>
        <v>3.3653846153846156E-3</v>
      </c>
      <c r="J12" s="61">
        <f t="shared" ref="J12:J75" si="15">J11+I12</f>
        <v>6.7307692307692311E-3</v>
      </c>
      <c r="K12" s="173">
        <f t="shared" si="11"/>
        <v>6.7307692307692308</v>
      </c>
      <c r="L12" s="136">
        <f t="shared" si="12"/>
        <v>1</v>
      </c>
      <c r="M12" s="59">
        <f t="shared" si="4"/>
        <v>0.12314744079449957</v>
      </c>
      <c r="N12" s="59">
        <f>I12*G12*(A12-B12)</f>
        <v>10.166050295857989</v>
      </c>
      <c r="O12" s="59">
        <f t="shared" si="14"/>
        <v>3020.7692307692309</v>
      </c>
      <c r="P12" s="59">
        <f t="shared" si="5"/>
        <v>6041.5384615384619</v>
      </c>
      <c r="Q12" s="59">
        <f t="shared" si="6"/>
        <v>1132.7884615384617</v>
      </c>
      <c r="X12" s="367" t="s">
        <v>136</v>
      </c>
      <c r="Y12" s="367"/>
    </row>
    <row r="13" spans="1:25" x14ac:dyDescent="0.25">
      <c r="A13" s="59">
        <f t="shared" si="0"/>
        <v>70</v>
      </c>
      <c r="B13" s="62">
        <f t="shared" si="1"/>
        <v>2.0192307692307692</v>
      </c>
      <c r="C13" s="60">
        <f t="shared" si="2"/>
        <v>0</v>
      </c>
      <c r="D13" s="65">
        <f>B2</f>
        <v>3719.9999999999995</v>
      </c>
      <c r="E13" s="58">
        <f t="shared" si="7"/>
        <v>54.721357850070717</v>
      </c>
      <c r="F13" s="60">
        <f t="shared" si="8"/>
        <v>44</v>
      </c>
      <c r="G13" s="58">
        <f t="shared" si="9"/>
        <v>44</v>
      </c>
      <c r="H13" s="60">
        <f t="shared" si="3"/>
        <v>44</v>
      </c>
      <c r="I13" s="61">
        <f t="shared" si="10"/>
        <v>3.3653846153846147E-3</v>
      </c>
      <c r="J13" s="61">
        <f t="shared" si="15"/>
        <v>1.0096153846153845E-2</v>
      </c>
      <c r="K13" s="173">
        <f t="shared" si="11"/>
        <v>10.096153846153845</v>
      </c>
      <c r="L13" s="136">
        <f t="shared" si="12"/>
        <v>1</v>
      </c>
      <c r="M13" s="59">
        <f t="shared" si="4"/>
        <v>0.12436672238652434</v>
      </c>
      <c r="N13" s="59">
        <f t="shared" si="13"/>
        <v>10.066383136094672</v>
      </c>
      <c r="O13" s="59">
        <f t="shared" si="14"/>
        <v>2991.1538461538457</v>
      </c>
      <c r="P13" s="59">
        <f t="shared" si="5"/>
        <v>5982.3076923076915</v>
      </c>
      <c r="Q13" s="59">
        <f t="shared" si="6"/>
        <v>1121.6826923076922</v>
      </c>
      <c r="X13" s="63" t="s">
        <v>137</v>
      </c>
      <c r="Y13" s="63">
        <v>0.3</v>
      </c>
    </row>
    <row r="14" spans="1:25" x14ac:dyDescent="0.25">
      <c r="A14" s="59">
        <f t="shared" si="0"/>
        <v>70</v>
      </c>
      <c r="B14" s="62">
        <f t="shared" si="1"/>
        <v>2.6923076923076925</v>
      </c>
      <c r="C14" s="60">
        <f t="shared" si="2"/>
        <v>0</v>
      </c>
      <c r="D14" s="65">
        <f>B2</f>
        <v>3719.9999999999995</v>
      </c>
      <c r="E14" s="58">
        <f t="shared" si="7"/>
        <v>55.26857142857142</v>
      </c>
      <c r="F14" s="60">
        <f t="shared" si="8"/>
        <v>44</v>
      </c>
      <c r="G14" s="58">
        <f t="shared" si="9"/>
        <v>44</v>
      </c>
      <c r="H14" s="60">
        <f t="shared" si="3"/>
        <v>44</v>
      </c>
      <c r="I14" s="61">
        <f t="shared" si="10"/>
        <v>3.3653846153846169E-3</v>
      </c>
      <c r="J14" s="61">
        <f t="shared" si="15"/>
        <v>1.3461538461538462E-2</v>
      </c>
      <c r="K14" s="173">
        <f t="shared" si="11"/>
        <v>13.461538461538462</v>
      </c>
      <c r="L14" s="136">
        <f t="shared" si="12"/>
        <v>1</v>
      </c>
      <c r="M14" s="59">
        <f t="shared" si="4"/>
        <v>0.12561038961038959</v>
      </c>
      <c r="N14" s="59">
        <f t="shared" ref="N14:N74" si="16">I14*G14*(A14-B14)</f>
        <v>9.9667159763313649</v>
      </c>
      <c r="O14" s="59">
        <f t="shared" si="14"/>
        <v>2961.5384615384614</v>
      </c>
      <c r="P14" s="59">
        <f t="shared" si="5"/>
        <v>5923.0769230769229</v>
      </c>
      <c r="Q14" s="59">
        <f t="shared" si="6"/>
        <v>1110.5769230769231</v>
      </c>
      <c r="X14" s="63" t="s">
        <v>138</v>
      </c>
      <c r="Y14" s="63">
        <v>0.3</v>
      </c>
    </row>
    <row r="15" spans="1:25" x14ac:dyDescent="0.25">
      <c r="A15" s="59">
        <f t="shared" si="0"/>
        <v>70</v>
      </c>
      <c r="B15" s="62">
        <f t="shared" si="1"/>
        <v>3.3653846153846154</v>
      </c>
      <c r="C15" s="60">
        <f t="shared" si="2"/>
        <v>0</v>
      </c>
      <c r="D15" s="65">
        <f>B2</f>
        <v>3719.9999999999995</v>
      </c>
      <c r="E15" s="58">
        <f t="shared" si="7"/>
        <v>55.826839826839816</v>
      </c>
      <c r="F15" s="60">
        <f t="shared" si="8"/>
        <v>44</v>
      </c>
      <c r="G15" s="58">
        <f t="shared" si="9"/>
        <v>44</v>
      </c>
      <c r="H15" s="60">
        <f t="shared" si="3"/>
        <v>44</v>
      </c>
      <c r="I15" s="61">
        <f t="shared" si="10"/>
        <v>3.3653846153846147E-3</v>
      </c>
      <c r="J15" s="61">
        <f t="shared" si="15"/>
        <v>1.6826923076923076E-2</v>
      </c>
      <c r="K15" s="173">
        <f t="shared" si="11"/>
        <v>16.826923076923077</v>
      </c>
      <c r="L15" s="136">
        <f t="shared" si="12"/>
        <v>1</v>
      </c>
      <c r="M15" s="59">
        <f t="shared" si="4"/>
        <v>0.12687918142463595</v>
      </c>
      <c r="N15" s="59">
        <f t="shared" si="16"/>
        <v>9.8670488165680457</v>
      </c>
      <c r="O15" s="59">
        <f t="shared" si="14"/>
        <v>2931.9230769230771</v>
      </c>
      <c r="P15" s="59">
        <f t="shared" si="5"/>
        <v>5863.8461538461543</v>
      </c>
      <c r="Q15" s="59">
        <f t="shared" si="6"/>
        <v>1099.4711538461538</v>
      </c>
      <c r="X15" s="63" t="s">
        <v>139</v>
      </c>
      <c r="Y15" s="63">
        <f>SQRT(Y14^2+Y13^2)</f>
        <v>0.42426406871192851</v>
      </c>
    </row>
    <row r="16" spans="1:25" x14ac:dyDescent="0.25">
      <c r="A16" s="59">
        <f t="shared" si="0"/>
        <v>70</v>
      </c>
      <c r="B16" s="62">
        <f t="shared" si="1"/>
        <v>4.0384615384615383</v>
      </c>
      <c r="C16" s="60">
        <f t="shared" si="2"/>
        <v>0</v>
      </c>
      <c r="D16" s="65">
        <f>B2</f>
        <v>3719.9999999999995</v>
      </c>
      <c r="E16" s="58">
        <f t="shared" si="7"/>
        <v>56.396501457725932</v>
      </c>
      <c r="F16" s="60">
        <f t="shared" si="8"/>
        <v>44</v>
      </c>
      <c r="G16" s="58">
        <f t="shared" si="9"/>
        <v>44</v>
      </c>
      <c r="H16" s="60">
        <f t="shared" si="3"/>
        <v>44</v>
      </c>
      <c r="I16" s="61">
        <f t="shared" si="10"/>
        <v>3.3653846153846147E-3</v>
      </c>
      <c r="J16" s="61">
        <f t="shared" si="15"/>
        <v>2.019230769230769E-2</v>
      </c>
      <c r="K16" s="173">
        <f t="shared" si="11"/>
        <v>20.19230769230769</v>
      </c>
      <c r="L16" s="136">
        <f t="shared" si="12"/>
        <v>1</v>
      </c>
      <c r="M16" s="59">
        <f t="shared" si="4"/>
        <v>0.12817386694937713</v>
      </c>
      <c r="N16" s="59">
        <f t="shared" si="16"/>
        <v>9.7673816568047336</v>
      </c>
      <c r="O16" s="59">
        <f t="shared" si="14"/>
        <v>2902.3076923076924</v>
      </c>
      <c r="P16" s="59">
        <f t="shared" si="5"/>
        <v>5804.6153846153848</v>
      </c>
      <c r="Q16" s="59">
        <f t="shared" si="6"/>
        <v>1088.3653846153848</v>
      </c>
      <c r="X16" s="63"/>
      <c r="Y16" s="63"/>
    </row>
    <row r="17" spans="1:25" x14ac:dyDescent="0.25">
      <c r="A17" s="59">
        <f t="shared" si="0"/>
        <v>70</v>
      </c>
      <c r="B17" s="62">
        <f t="shared" si="1"/>
        <v>4.7115384615384617</v>
      </c>
      <c r="C17" s="60">
        <f t="shared" si="2"/>
        <v>0</v>
      </c>
      <c r="D17" s="65">
        <f>B2</f>
        <v>3719.9999999999995</v>
      </c>
      <c r="E17" s="58">
        <f t="shared" si="7"/>
        <v>56.977908689248892</v>
      </c>
      <c r="F17" s="60">
        <f t="shared" si="8"/>
        <v>44</v>
      </c>
      <c r="G17" s="58">
        <f t="shared" si="9"/>
        <v>44</v>
      </c>
      <c r="H17" s="60">
        <f t="shared" si="3"/>
        <v>44</v>
      </c>
      <c r="I17" s="61">
        <f t="shared" si="10"/>
        <v>3.3653846153846169E-3</v>
      </c>
      <c r="J17" s="61">
        <f t="shared" si="15"/>
        <v>2.3557692307692307E-2</v>
      </c>
      <c r="K17" s="173">
        <f t="shared" si="11"/>
        <v>23.557692307692307</v>
      </c>
      <c r="L17" s="136">
        <f t="shared" si="12"/>
        <v>1</v>
      </c>
      <c r="M17" s="59">
        <f t="shared" si="4"/>
        <v>0.12949524702102022</v>
      </c>
      <c r="N17" s="59">
        <f t="shared" si="16"/>
        <v>9.6677144970414233</v>
      </c>
      <c r="O17" s="59">
        <f t="shared" si="14"/>
        <v>2872.6923076923076</v>
      </c>
      <c r="P17" s="59">
        <f t="shared" si="5"/>
        <v>5745.3846153846152</v>
      </c>
      <c r="Q17" s="59">
        <f t="shared" si="6"/>
        <v>1077.2596153846152</v>
      </c>
      <c r="X17" s="63" t="s">
        <v>140</v>
      </c>
      <c r="Y17" s="63">
        <v>0.3</v>
      </c>
    </row>
    <row r="18" spans="1:25" x14ac:dyDescent="0.25">
      <c r="A18" s="59">
        <f t="shared" si="0"/>
        <v>70</v>
      </c>
      <c r="B18" s="62">
        <f t="shared" si="1"/>
        <v>5.384615384615385</v>
      </c>
      <c r="C18" s="60">
        <f t="shared" si="2"/>
        <v>0</v>
      </c>
      <c r="D18" s="65">
        <f>B2</f>
        <v>3719.9999999999995</v>
      </c>
      <c r="E18" s="58">
        <f t="shared" si="7"/>
        <v>57.571428571428569</v>
      </c>
      <c r="F18" s="60">
        <f t="shared" si="8"/>
        <v>44</v>
      </c>
      <c r="G18" s="58">
        <f t="shared" si="9"/>
        <v>44</v>
      </c>
      <c r="H18" s="60">
        <f t="shared" si="3"/>
        <v>44</v>
      </c>
      <c r="I18" s="61">
        <f t="shared" si="10"/>
        <v>3.3653846153846169E-3</v>
      </c>
      <c r="J18" s="61">
        <f t="shared" si="15"/>
        <v>2.6923076923076925E-2</v>
      </c>
      <c r="K18" s="173">
        <f t="shared" si="11"/>
        <v>26.923076923076923</v>
      </c>
      <c r="L18" s="136">
        <f t="shared" si="12"/>
        <v>1</v>
      </c>
      <c r="M18" s="59">
        <f t="shared" si="4"/>
        <v>0.13084415584415585</v>
      </c>
      <c r="N18" s="59">
        <f t="shared" si="16"/>
        <v>9.5680473372781094</v>
      </c>
      <c r="O18" s="59">
        <f t="shared" si="14"/>
        <v>2843.0769230769229</v>
      </c>
      <c r="P18" s="59">
        <f t="shared" si="5"/>
        <v>5686.1538461538457</v>
      </c>
      <c r="Q18" s="59">
        <f t="shared" si="6"/>
        <v>1066.1538461538462</v>
      </c>
      <c r="X18" s="63" t="s">
        <v>141</v>
      </c>
      <c r="Y18" s="63">
        <f>MAX(Y15:Y17)</f>
        <v>0.42426406871192851</v>
      </c>
    </row>
    <row r="19" spans="1:25" x14ac:dyDescent="0.25">
      <c r="A19" s="59">
        <f t="shared" si="0"/>
        <v>70</v>
      </c>
      <c r="B19" s="62">
        <f t="shared" si="1"/>
        <v>6.0576923076923075</v>
      </c>
      <c r="C19" s="60">
        <f t="shared" si="2"/>
        <v>0</v>
      </c>
      <c r="D19" s="65">
        <f>B2</f>
        <v>3719.9999999999995</v>
      </c>
      <c r="E19" s="58">
        <f t="shared" si="7"/>
        <v>58.177443609022546</v>
      </c>
      <c r="F19" s="60">
        <f t="shared" si="8"/>
        <v>44</v>
      </c>
      <c r="G19" s="58">
        <f t="shared" si="9"/>
        <v>44</v>
      </c>
      <c r="H19" s="60">
        <f t="shared" si="3"/>
        <v>44</v>
      </c>
      <c r="I19" s="61">
        <f t="shared" si="10"/>
        <v>3.3653846153846121E-3</v>
      </c>
      <c r="J19" s="61">
        <f t="shared" si="15"/>
        <v>3.0288461538461535E-2</v>
      </c>
      <c r="K19" s="173">
        <f t="shared" si="11"/>
        <v>30.288461538461537</v>
      </c>
      <c r="L19" s="136">
        <f t="shared" si="12"/>
        <v>1</v>
      </c>
      <c r="M19" s="59">
        <f t="shared" si="4"/>
        <v>0.13222146274777852</v>
      </c>
      <c r="N19" s="59">
        <f t="shared" si="16"/>
        <v>9.4683801775147849</v>
      </c>
      <c r="O19" s="59">
        <f t="shared" si="14"/>
        <v>2813.4615384615386</v>
      </c>
      <c r="P19" s="59">
        <f t="shared" si="5"/>
        <v>5626.9230769230771</v>
      </c>
      <c r="Q19" s="59">
        <f t="shared" si="6"/>
        <v>1055.0480769230769</v>
      </c>
      <c r="X19" s="63"/>
      <c r="Y19" s="63"/>
    </row>
    <row r="20" spans="1:25" x14ac:dyDescent="0.25">
      <c r="A20" s="59">
        <f t="shared" si="0"/>
        <v>70</v>
      </c>
      <c r="B20" s="62">
        <f t="shared" si="1"/>
        <v>6.7307692307692308</v>
      </c>
      <c r="C20" s="60">
        <f t="shared" si="2"/>
        <v>0</v>
      </c>
      <c r="D20" s="65">
        <f>B2</f>
        <v>3719.9999999999995</v>
      </c>
      <c r="E20" s="58">
        <f t="shared" si="7"/>
        <v>58.796352583586625</v>
      </c>
      <c r="F20" s="60">
        <f t="shared" si="8"/>
        <v>44</v>
      </c>
      <c r="G20" s="58">
        <f t="shared" si="9"/>
        <v>44</v>
      </c>
      <c r="H20" s="60">
        <f t="shared" si="3"/>
        <v>44</v>
      </c>
      <c r="I20" s="61">
        <f t="shared" si="10"/>
        <v>3.3653846153846169E-3</v>
      </c>
      <c r="J20" s="61">
        <f t="shared" si="15"/>
        <v>3.3653846153846152E-2</v>
      </c>
      <c r="K20" s="173">
        <f t="shared" si="11"/>
        <v>33.653846153846153</v>
      </c>
      <c r="L20" s="136">
        <f t="shared" si="12"/>
        <v>1</v>
      </c>
      <c r="M20" s="59">
        <f t="shared" si="4"/>
        <v>0.13362807405360597</v>
      </c>
      <c r="N20" s="59">
        <f t="shared" si="16"/>
        <v>9.3687130177514817</v>
      </c>
      <c r="O20" s="59">
        <f t="shared" si="14"/>
        <v>2783.8461538461538</v>
      </c>
      <c r="P20" s="59">
        <f t="shared" si="5"/>
        <v>5567.6923076923076</v>
      </c>
      <c r="Q20" s="59">
        <f t="shared" si="6"/>
        <v>1043.9423076923076</v>
      </c>
      <c r="X20" s="63" t="s">
        <v>142</v>
      </c>
      <c r="Y20" s="63">
        <v>0.2</v>
      </c>
    </row>
    <row r="21" spans="1:25" x14ac:dyDescent="0.25">
      <c r="A21" s="59">
        <f t="shared" si="0"/>
        <v>70</v>
      </c>
      <c r="B21" s="62">
        <f t="shared" si="1"/>
        <v>7.4038461538461542</v>
      </c>
      <c r="C21" s="60">
        <f t="shared" si="2"/>
        <v>0</v>
      </c>
      <c r="D21" s="65">
        <f>B2</f>
        <v>3719.9999999999995</v>
      </c>
      <c r="E21" s="58">
        <f t="shared" si="7"/>
        <v>59.428571428571423</v>
      </c>
      <c r="F21" s="60">
        <f t="shared" si="8"/>
        <v>44</v>
      </c>
      <c r="G21" s="58">
        <f t="shared" si="9"/>
        <v>44</v>
      </c>
      <c r="H21" s="60">
        <f t="shared" si="3"/>
        <v>44</v>
      </c>
      <c r="I21" s="61">
        <f t="shared" si="10"/>
        <v>3.3653846153846169E-3</v>
      </c>
      <c r="J21" s="61">
        <f t="shared" si="15"/>
        <v>3.701923076923077E-2</v>
      </c>
      <c r="K21" s="173">
        <f t="shared" si="11"/>
        <v>37.019230769230766</v>
      </c>
      <c r="L21" s="136">
        <f t="shared" si="12"/>
        <v>1</v>
      </c>
      <c r="M21" s="59">
        <f t="shared" si="4"/>
        <v>0.13506493506493505</v>
      </c>
      <c r="N21" s="59">
        <f t="shared" si="16"/>
        <v>9.2690458579881696</v>
      </c>
      <c r="O21" s="59">
        <f t="shared" si="14"/>
        <v>2754.2307692307691</v>
      </c>
      <c r="P21" s="59">
        <f t="shared" si="5"/>
        <v>5508.4615384615381</v>
      </c>
      <c r="Q21" s="59">
        <f t="shared" si="6"/>
        <v>1032.8365384615386</v>
      </c>
      <c r="X21" s="63" t="s">
        <v>143</v>
      </c>
      <c r="Y21" s="63">
        <v>0.2</v>
      </c>
    </row>
    <row r="22" spans="1:25" x14ac:dyDescent="0.25">
      <c r="A22" s="59">
        <f t="shared" si="0"/>
        <v>70</v>
      </c>
      <c r="B22" s="62">
        <f t="shared" si="1"/>
        <v>8.0769230769230766</v>
      </c>
      <c r="C22" s="60">
        <f t="shared" si="2"/>
        <v>0</v>
      </c>
      <c r="D22" s="65">
        <f>B2</f>
        <v>3719.9999999999995</v>
      </c>
      <c r="E22" s="58">
        <f t="shared" si="7"/>
        <v>60.074534161490682</v>
      </c>
      <c r="F22" s="60">
        <f t="shared" si="8"/>
        <v>44</v>
      </c>
      <c r="G22" s="58">
        <f t="shared" si="9"/>
        <v>44</v>
      </c>
      <c r="H22" s="60">
        <f t="shared" si="3"/>
        <v>44</v>
      </c>
      <c r="I22" s="61">
        <f t="shared" si="10"/>
        <v>3.3653846153846121E-3</v>
      </c>
      <c r="J22" s="61">
        <f t="shared" si="15"/>
        <v>4.038461538461538E-2</v>
      </c>
      <c r="K22" s="173">
        <f t="shared" si="11"/>
        <v>40.38461538461538</v>
      </c>
      <c r="L22" s="136">
        <f t="shared" si="12"/>
        <v>1</v>
      </c>
      <c r="M22" s="59">
        <f t="shared" si="4"/>
        <v>0.1365330321852061</v>
      </c>
      <c r="N22" s="59">
        <f t="shared" si="16"/>
        <v>9.1693786982248433</v>
      </c>
      <c r="O22" s="59">
        <f t="shared" si="14"/>
        <v>2724.6153846153843</v>
      </c>
      <c r="P22" s="59">
        <f t="shared" si="5"/>
        <v>5449.2307692307686</v>
      </c>
      <c r="Q22" s="59">
        <f t="shared" si="6"/>
        <v>1021.7307692307692</v>
      </c>
      <c r="X22" s="63" t="s">
        <v>139</v>
      </c>
      <c r="Y22" s="63">
        <f>SQRT(Y21^2+Y20^2)</f>
        <v>0.28284271247461906</v>
      </c>
    </row>
    <row r="23" spans="1:25" x14ac:dyDescent="0.25">
      <c r="A23" s="59">
        <f t="shared" si="0"/>
        <v>70</v>
      </c>
      <c r="B23" s="62">
        <f t="shared" si="1"/>
        <v>8.75</v>
      </c>
      <c r="C23" s="60">
        <f t="shared" si="2"/>
        <v>0</v>
      </c>
      <c r="D23" s="65">
        <f>B2</f>
        <v>3719.9999999999995</v>
      </c>
      <c r="E23" s="58">
        <f t="shared" si="7"/>
        <v>60.73469387755101</v>
      </c>
      <c r="F23" s="60">
        <f t="shared" si="8"/>
        <v>44</v>
      </c>
      <c r="G23" s="58">
        <f t="shared" si="9"/>
        <v>44</v>
      </c>
      <c r="H23" s="60">
        <f t="shared" si="3"/>
        <v>44</v>
      </c>
      <c r="I23" s="61">
        <f t="shared" si="10"/>
        <v>3.3653846153846169E-3</v>
      </c>
      <c r="J23" s="61">
        <f t="shared" si="15"/>
        <v>4.3749999999999997E-2</v>
      </c>
      <c r="K23" s="173">
        <f t="shared" si="11"/>
        <v>43.75</v>
      </c>
      <c r="L23" s="136">
        <f t="shared" si="12"/>
        <v>1</v>
      </c>
      <c r="M23" s="59">
        <f t="shared" si="4"/>
        <v>0.13803339517625229</v>
      </c>
      <c r="N23" s="59">
        <f t="shared" si="16"/>
        <v>9.0697115384615419</v>
      </c>
      <c r="O23" s="59">
        <f t="shared" si="14"/>
        <v>2695</v>
      </c>
      <c r="P23" s="59">
        <f t="shared" si="5"/>
        <v>5390</v>
      </c>
      <c r="Q23" s="59">
        <f t="shared" si="6"/>
        <v>1010.625</v>
      </c>
      <c r="X23" s="63"/>
      <c r="Y23" s="63"/>
    </row>
    <row r="24" spans="1:25" x14ac:dyDescent="0.25">
      <c r="A24" s="59">
        <f t="shared" si="0"/>
        <v>70</v>
      </c>
      <c r="B24" s="62">
        <f t="shared" si="1"/>
        <v>9.4230769230769234</v>
      </c>
      <c r="C24" s="60">
        <f t="shared" si="2"/>
        <v>0</v>
      </c>
      <c r="D24" s="65">
        <f>B2</f>
        <v>3719.9999999999995</v>
      </c>
      <c r="E24" s="58">
        <f t="shared" si="7"/>
        <v>61.409523809523797</v>
      </c>
      <c r="F24" s="60">
        <f t="shared" si="8"/>
        <v>44</v>
      </c>
      <c r="G24" s="58">
        <f t="shared" si="9"/>
        <v>44</v>
      </c>
      <c r="H24" s="60">
        <f t="shared" si="3"/>
        <v>44</v>
      </c>
      <c r="I24" s="61">
        <f t="shared" si="10"/>
        <v>3.3653846153846169E-3</v>
      </c>
      <c r="J24" s="61">
        <f t="shared" si="15"/>
        <v>4.7115384615384615E-2</v>
      </c>
      <c r="K24" s="173">
        <f t="shared" si="11"/>
        <v>47.115384615384613</v>
      </c>
      <c r="L24" s="136">
        <f t="shared" si="12"/>
        <v>1</v>
      </c>
      <c r="M24" s="59">
        <f t="shared" si="4"/>
        <v>0.13956709956709953</v>
      </c>
      <c r="N24" s="59">
        <f t="shared" si="16"/>
        <v>8.970044378698228</v>
      </c>
      <c r="O24" s="59">
        <f t="shared" si="14"/>
        <v>2665.3846153846157</v>
      </c>
      <c r="P24" s="59">
        <f t="shared" si="5"/>
        <v>5330.7692307692314</v>
      </c>
      <c r="Q24" s="59">
        <f t="shared" si="6"/>
        <v>999.51923076923083</v>
      </c>
      <c r="X24" s="63" t="s">
        <v>144</v>
      </c>
      <c r="Y24" s="63">
        <f>SQRT(Y18^2+Y22^2)</f>
        <v>0.50990195135927852</v>
      </c>
    </row>
    <row r="25" spans="1:25" x14ac:dyDescent="0.25">
      <c r="A25" s="59">
        <f t="shared" si="0"/>
        <v>70</v>
      </c>
      <c r="B25" s="62">
        <f t="shared" si="1"/>
        <v>10.096153846153845</v>
      </c>
      <c r="C25" s="60">
        <f t="shared" si="2"/>
        <v>0</v>
      </c>
      <c r="D25" s="65">
        <f>B2</f>
        <v>3719.9999999999995</v>
      </c>
      <c r="E25" s="58">
        <f t="shared" si="7"/>
        <v>62.099518459069017</v>
      </c>
      <c r="F25" s="60">
        <f t="shared" si="8"/>
        <v>44</v>
      </c>
      <c r="G25" s="58">
        <f t="shared" si="9"/>
        <v>44</v>
      </c>
      <c r="H25" s="60">
        <f t="shared" si="3"/>
        <v>44</v>
      </c>
      <c r="I25" s="61">
        <f t="shared" si="10"/>
        <v>3.3653846153846078E-3</v>
      </c>
      <c r="J25" s="61">
        <f t="shared" si="15"/>
        <v>5.0480769230769225E-2</v>
      </c>
      <c r="K25" s="173">
        <f t="shared" si="11"/>
        <v>50.480769230769226</v>
      </c>
      <c r="L25" s="136">
        <f t="shared" si="12"/>
        <v>1</v>
      </c>
      <c r="M25" s="59">
        <f t="shared" si="4"/>
        <v>0.14113526922515687</v>
      </c>
      <c r="N25" s="59">
        <f t="shared" si="16"/>
        <v>8.8703772189348911</v>
      </c>
      <c r="O25" s="59">
        <f t="shared" si="14"/>
        <v>2635.7692307692309</v>
      </c>
      <c r="P25" s="59">
        <f t="shared" si="5"/>
        <v>5271.5384615384619</v>
      </c>
      <c r="Q25" s="59">
        <f t="shared" si="6"/>
        <v>988.41346153846155</v>
      </c>
    </row>
    <row r="26" spans="1:25" x14ac:dyDescent="0.25">
      <c r="A26" s="59">
        <f t="shared" si="0"/>
        <v>70</v>
      </c>
      <c r="B26" s="62">
        <f t="shared" si="1"/>
        <v>10.76923076923077</v>
      </c>
      <c r="C26" s="60">
        <f t="shared" si="2"/>
        <v>0</v>
      </c>
      <c r="D26" s="65">
        <f>B2</f>
        <v>3719.9999999999995</v>
      </c>
      <c r="E26" s="58">
        <f t="shared" si="7"/>
        <v>62.805194805194802</v>
      </c>
      <c r="F26" s="60">
        <f t="shared" si="8"/>
        <v>44</v>
      </c>
      <c r="G26" s="58">
        <f t="shared" si="9"/>
        <v>44</v>
      </c>
      <c r="H26" s="60">
        <f t="shared" si="3"/>
        <v>44</v>
      </c>
      <c r="I26" s="61">
        <f t="shared" si="10"/>
        <v>3.3653846153846255E-3</v>
      </c>
      <c r="J26" s="61">
        <f t="shared" si="15"/>
        <v>5.3846153846153849E-2</v>
      </c>
      <c r="K26" s="173">
        <f t="shared" si="11"/>
        <v>53.846153846153847</v>
      </c>
      <c r="L26" s="136">
        <f t="shared" si="12"/>
        <v>1</v>
      </c>
      <c r="M26" s="59">
        <f t="shared" si="4"/>
        <v>0.14273907910271547</v>
      </c>
      <c r="N26" s="59">
        <f t="shared" si="16"/>
        <v>8.7707100591716234</v>
      </c>
      <c r="O26" s="59">
        <f t="shared" si="14"/>
        <v>2606.1538461538457</v>
      </c>
      <c r="P26" s="59">
        <f t="shared" si="5"/>
        <v>5212.3076923076915</v>
      </c>
      <c r="Q26" s="59">
        <f t="shared" si="6"/>
        <v>977.30769230769226</v>
      </c>
    </row>
    <row r="27" spans="1:25" x14ac:dyDescent="0.25">
      <c r="A27" s="59">
        <f t="shared" si="0"/>
        <v>70</v>
      </c>
      <c r="B27" s="62">
        <f t="shared" si="1"/>
        <v>11.442307692307692</v>
      </c>
      <c r="C27" s="60">
        <f t="shared" si="2"/>
        <v>0</v>
      </c>
      <c r="D27" s="65">
        <f>B2</f>
        <v>3719.9999999999995</v>
      </c>
      <c r="E27" s="58">
        <f t="shared" si="7"/>
        <v>63.527093596059103</v>
      </c>
      <c r="F27" s="60">
        <f t="shared" si="8"/>
        <v>44</v>
      </c>
      <c r="G27" s="58">
        <f t="shared" si="9"/>
        <v>44</v>
      </c>
      <c r="H27" s="60">
        <f t="shared" si="3"/>
        <v>44</v>
      </c>
      <c r="I27" s="61">
        <f t="shared" si="10"/>
        <v>3.3653846153846078E-3</v>
      </c>
      <c r="J27" s="61">
        <f t="shared" si="15"/>
        <v>5.721153846153846E-2</v>
      </c>
      <c r="K27" s="173">
        <f t="shared" si="11"/>
        <v>57.21153846153846</v>
      </c>
      <c r="L27" s="136">
        <f t="shared" si="12"/>
        <v>1</v>
      </c>
      <c r="M27" s="59">
        <f t="shared" si="4"/>
        <v>0.14437975817286161</v>
      </c>
      <c r="N27" s="59">
        <f t="shared" si="16"/>
        <v>8.6710428994082651</v>
      </c>
      <c r="O27" s="59">
        <f t="shared" si="14"/>
        <v>2576.5384615384614</v>
      </c>
      <c r="P27" s="59">
        <f t="shared" si="5"/>
        <v>5153.0769230769229</v>
      </c>
      <c r="Q27" s="59">
        <f t="shared" si="6"/>
        <v>966.20192307692309</v>
      </c>
    </row>
    <row r="28" spans="1:25" x14ac:dyDescent="0.25">
      <c r="A28" s="59">
        <f t="shared" si="0"/>
        <v>70</v>
      </c>
      <c r="B28" s="62">
        <f t="shared" si="1"/>
        <v>12.115384615384615</v>
      </c>
      <c r="C28" s="60">
        <f t="shared" si="2"/>
        <v>0</v>
      </c>
      <c r="D28" s="65">
        <f>B2</f>
        <v>3719.9999999999995</v>
      </c>
      <c r="E28" s="58">
        <f t="shared" si="7"/>
        <v>64.265780730897006</v>
      </c>
      <c r="F28" s="60">
        <f t="shared" si="8"/>
        <v>44</v>
      </c>
      <c r="G28" s="58">
        <f t="shared" si="9"/>
        <v>44</v>
      </c>
      <c r="H28" s="60">
        <f t="shared" si="3"/>
        <v>44</v>
      </c>
      <c r="I28" s="61">
        <f t="shared" si="10"/>
        <v>3.3653846153846169E-3</v>
      </c>
      <c r="J28" s="61">
        <f t="shared" si="15"/>
        <v>6.0576923076923077E-2</v>
      </c>
      <c r="K28" s="173">
        <f t="shared" si="11"/>
        <v>60.57692307692308</v>
      </c>
      <c r="L28" s="136">
        <f t="shared" si="12"/>
        <v>1</v>
      </c>
      <c r="M28" s="59">
        <f t="shared" si="4"/>
        <v>0.14605859257022047</v>
      </c>
      <c r="N28" s="59">
        <f t="shared" si="16"/>
        <v>8.5713757396449743</v>
      </c>
      <c r="O28" s="59">
        <f t="shared" si="14"/>
        <v>2546.9230769230771</v>
      </c>
      <c r="P28" s="59">
        <f t="shared" si="5"/>
        <v>5093.8461538461543</v>
      </c>
      <c r="Q28" s="59">
        <f t="shared" si="6"/>
        <v>955.09615384615392</v>
      </c>
    </row>
    <row r="29" spans="1:25" x14ac:dyDescent="0.25">
      <c r="A29" s="59">
        <f t="shared" si="0"/>
        <v>70</v>
      </c>
      <c r="B29" s="62">
        <f t="shared" si="1"/>
        <v>12.788461538461538</v>
      </c>
      <c r="C29" s="60">
        <f t="shared" si="2"/>
        <v>0</v>
      </c>
      <c r="D29" s="65">
        <f>B2</f>
        <v>3719.9999999999995</v>
      </c>
      <c r="E29" s="58">
        <f t="shared" si="7"/>
        <v>65.021848739495795</v>
      </c>
      <c r="F29" s="60">
        <f t="shared" si="8"/>
        <v>44</v>
      </c>
      <c r="G29" s="58">
        <f t="shared" si="9"/>
        <v>44</v>
      </c>
      <c r="H29" s="60">
        <f t="shared" si="3"/>
        <v>44</v>
      </c>
      <c r="I29" s="61">
        <f t="shared" si="10"/>
        <v>3.3653846153846169E-3</v>
      </c>
      <c r="J29" s="61">
        <f t="shared" si="15"/>
        <v>6.3942307692307687E-2</v>
      </c>
      <c r="K29" s="173">
        <f t="shared" si="11"/>
        <v>63.942307692307686</v>
      </c>
      <c r="L29" s="136">
        <f t="shared" si="12"/>
        <v>1</v>
      </c>
      <c r="M29" s="59">
        <f t="shared" si="4"/>
        <v>0.14777692895339956</v>
      </c>
      <c r="N29" s="59">
        <f t="shared" si="16"/>
        <v>8.4717085798816605</v>
      </c>
      <c r="O29" s="59">
        <f t="shared" si="14"/>
        <v>2517.3076923076924</v>
      </c>
      <c r="P29" s="59">
        <f t="shared" si="5"/>
        <v>5034.6153846153848</v>
      </c>
      <c r="Q29" s="59">
        <f t="shared" si="6"/>
        <v>943.99038461538464</v>
      </c>
    </row>
    <row r="30" spans="1:25" x14ac:dyDescent="0.25">
      <c r="A30" s="59">
        <f t="shared" si="0"/>
        <v>70</v>
      </c>
      <c r="B30" s="62">
        <f t="shared" si="1"/>
        <v>13.461538461538462</v>
      </c>
      <c r="C30" s="60">
        <f t="shared" si="2"/>
        <v>0</v>
      </c>
      <c r="D30" s="65">
        <f>B2</f>
        <v>3719.9999999999995</v>
      </c>
      <c r="E30" s="58">
        <f t="shared" si="7"/>
        <v>65.795918367346928</v>
      </c>
      <c r="F30" s="60">
        <f t="shared" si="8"/>
        <v>44</v>
      </c>
      <c r="G30" s="58">
        <f t="shared" si="9"/>
        <v>44</v>
      </c>
      <c r="H30" s="60">
        <f t="shared" si="3"/>
        <v>44</v>
      </c>
      <c r="I30" s="61">
        <f t="shared" si="10"/>
        <v>3.3653846153846169E-3</v>
      </c>
      <c r="J30" s="61">
        <f t="shared" si="15"/>
        <v>6.7307692307692304E-2</v>
      </c>
      <c r="K30" s="173">
        <f t="shared" si="11"/>
        <v>67.307692307692307</v>
      </c>
      <c r="L30" s="136">
        <f t="shared" si="12"/>
        <v>1</v>
      </c>
      <c r="M30" s="59">
        <f t="shared" si="4"/>
        <v>0.14953617810760667</v>
      </c>
      <c r="N30" s="59">
        <f t="shared" si="16"/>
        <v>8.3720414201183466</v>
      </c>
      <c r="O30" s="59">
        <f t="shared" si="14"/>
        <v>2487.6923076923076</v>
      </c>
      <c r="P30" s="59">
        <f t="shared" si="5"/>
        <v>4975.3846153846152</v>
      </c>
      <c r="Q30" s="59">
        <f t="shared" si="6"/>
        <v>932.88461538461536</v>
      </c>
    </row>
    <row r="31" spans="1:25" x14ac:dyDescent="0.25">
      <c r="A31" s="59">
        <f t="shared" si="0"/>
        <v>70</v>
      </c>
      <c r="B31" s="62">
        <f t="shared" si="1"/>
        <v>14.134615384615385</v>
      </c>
      <c r="C31" s="60">
        <f t="shared" si="2"/>
        <v>0</v>
      </c>
      <c r="D31" s="65">
        <f>B2</f>
        <v>3719.9999999999995</v>
      </c>
      <c r="E31" s="58">
        <f t="shared" si="7"/>
        <v>66.588640275387263</v>
      </c>
      <c r="F31" s="60">
        <f t="shared" si="8"/>
        <v>44</v>
      </c>
      <c r="G31" s="58">
        <f t="shared" si="9"/>
        <v>44</v>
      </c>
      <c r="H31" s="60">
        <f t="shared" si="3"/>
        <v>44</v>
      </c>
      <c r="I31" s="61">
        <f t="shared" si="10"/>
        <v>3.3653846153846169E-3</v>
      </c>
      <c r="J31" s="61">
        <f t="shared" si="15"/>
        <v>7.0673076923076922E-2</v>
      </c>
      <c r="K31" s="173">
        <f t="shared" si="11"/>
        <v>70.67307692307692</v>
      </c>
      <c r="L31" s="136">
        <f t="shared" si="12"/>
        <v>1</v>
      </c>
      <c r="M31" s="59">
        <f t="shared" si="4"/>
        <v>0.15133781880769834</v>
      </c>
      <c r="N31" s="59">
        <f t="shared" si="16"/>
        <v>8.2723742603550328</v>
      </c>
      <c r="O31" s="59">
        <f t="shared" si="14"/>
        <v>2458.0769230769229</v>
      </c>
      <c r="P31" s="59">
        <f t="shared" si="5"/>
        <v>4916.1538461538457</v>
      </c>
      <c r="Q31" s="59">
        <f t="shared" si="6"/>
        <v>921.77884615384608</v>
      </c>
    </row>
    <row r="32" spans="1:25" x14ac:dyDescent="0.25">
      <c r="A32" s="59">
        <f t="shared" si="0"/>
        <v>70</v>
      </c>
      <c r="B32" s="62">
        <f t="shared" si="1"/>
        <v>14.807692307692308</v>
      </c>
      <c r="C32" s="60">
        <f t="shared" si="2"/>
        <v>0</v>
      </c>
      <c r="D32" s="65">
        <f>B2</f>
        <v>3719.9999999999995</v>
      </c>
      <c r="E32" s="58">
        <f t="shared" si="7"/>
        <v>67.400696864111495</v>
      </c>
      <c r="F32" s="60">
        <f t="shared" si="8"/>
        <v>44</v>
      </c>
      <c r="G32" s="58">
        <f t="shared" si="9"/>
        <v>44</v>
      </c>
      <c r="H32" s="60">
        <f t="shared" si="3"/>
        <v>44</v>
      </c>
      <c r="I32" s="61">
        <f t="shared" si="10"/>
        <v>3.3653846153846169E-3</v>
      </c>
      <c r="J32" s="61">
        <f t="shared" si="15"/>
        <v>7.4038461538461539E-2</v>
      </c>
      <c r="K32" s="173">
        <f t="shared" si="11"/>
        <v>74.038461538461533</v>
      </c>
      <c r="L32" s="136">
        <f t="shared" si="12"/>
        <v>1</v>
      </c>
      <c r="M32" s="59">
        <f t="shared" si="4"/>
        <v>0.15318340196388977</v>
      </c>
      <c r="N32" s="59">
        <f t="shared" si="16"/>
        <v>8.1727071005917189</v>
      </c>
      <c r="O32" s="59">
        <f t="shared" si="14"/>
        <v>2428.4615384615386</v>
      </c>
      <c r="P32" s="59">
        <f t="shared" si="5"/>
        <v>4856.9230769230771</v>
      </c>
      <c r="Q32" s="59">
        <f t="shared" si="6"/>
        <v>910.67307692307691</v>
      </c>
    </row>
    <row r="33" spans="1:17" x14ac:dyDescent="0.25">
      <c r="A33" s="59">
        <f t="shared" si="0"/>
        <v>70</v>
      </c>
      <c r="B33" s="62">
        <f t="shared" si="1"/>
        <v>15.48076923076923</v>
      </c>
      <c r="C33" s="60">
        <f t="shared" si="2"/>
        <v>0</v>
      </c>
      <c r="D33" s="65">
        <f>B2</f>
        <v>3719.9999999999995</v>
      </c>
      <c r="E33" s="58">
        <f t="shared" si="7"/>
        <v>68.232804232804213</v>
      </c>
      <c r="F33" s="60">
        <f t="shared" si="8"/>
        <v>44</v>
      </c>
      <c r="G33" s="58">
        <f t="shared" si="9"/>
        <v>44</v>
      </c>
      <c r="H33" s="60">
        <f t="shared" si="3"/>
        <v>44</v>
      </c>
      <c r="I33" s="61">
        <f t="shared" si="10"/>
        <v>3.3653846153846078E-3</v>
      </c>
      <c r="J33" s="61">
        <f t="shared" si="15"/>
        <v>7.7403846153846143E-2</v>
      </c>
      <c r="K33" s="173">
        <f t="shared" si="11"/>
        <v>77.403846153846146</v>
      </c>
      <c r="L33" s="136">
        <f t="shared" si="12"/>
        <v>1</v>
      </c>
      <c r="M33" s="59">
        <f t="shared" si="4"/>
        <v>0.15507455507455503</v>
      </c>
      <c r="N33" s="59">
        <f t="shared" si="16"/>
        <v>8.0730399408283855</v>
      </c>
      <c r="O33" s="59">
        <f t="shared" si="14"/>
        <v>2398.8461538461543</v>
      </c>
      <c r="P33" s="59">
        <f t="shared" si="5"/>
        <v>4797.6923076923085</v>
      </c>
      <c r="Q33" s="59">
        <f t="shared" si="6"/>
        <v>899.56730769230774</v>
      </c>
    </row>
    <row r="34" spans="1:17" x14ac:dyDescent="0.25">
      <c r="A34" s="59">
        <f t="shared" si="0"/>
        <v>70</v>
      </c>
      <c r="B34" s="62">
        <f t="shared" si="1"/>
        <v>16.153846153846153</v>
      </c>
      <c r="C34" s="60">
        <f t="shared" si="2"/>
        <v>0</v>
      </c>
      <c r="D34" s="65">
        <f>B2</f>
        <v>3719.9999999999995</v>
      </c>
      <c r="E34" s="58">
        <f t="shared" si="7"/>
        <v>69.085714285714275</v>
      </c>
      <c r="F34" s="60">
        <f t="shared" si="8"/>
        <v>44</v>
      </c>
      <c r="G34" s="58">
        <f t="shared" si="9"/>
        <v>44</v>
      </c>
      <c r="H34" s="60">
        <f t="shared" si="3"/>
        <v>44</v>
      </c>
      <c r="I34" s="61">
        <f t="shared" si="10"/>
        <v>3.3653846153846169E-3</v>
      </c>
      <c r="J34" s="61">
        <f t="shared" si="15"/>
        <v>8.076923076923076E-2</v>
      </c>
      <c r="K34" s="173">
        <f t="shared" si="11"/>
        <v>80.769230769230759</v>
      </c>
      <c r="L34" s="136">
        <f t="shared" si="12"/>
        <v>1</v>
      </c>
      <c r="M34" s="59">
        <f t="shared" si="4"/>
        <v>0.15701298701298699</v>
      </c>
      <c r="N34" s="59">
        <f t="shared" si="16"/>
        <v>7.9733727810650921</v>
      </c>
      <c r="O34" s="59">
        <f t="shared" si="14"/>
        <v>2369.2307692307691</v>
      </c>
      <c r="P34" s="59">
        <f t="shared" si="5"/>
        <v>4738.4615384615381</v>
      </c>
      <c r="Q34" s="59">
        <f t="shared" si="6"/>
        <v>888.46153846153845</v>
      </c>
    </row>
    <row r="35" spans="1:17" x14ac:dyDescent="0.25">
      <c r="A35" s="59">
        <f t="shared" si="0"/>
        <v>70</v>
      </c>
      <c r="B35" s="62">
        <f t="shared" si="1"/>
        <v>16.826923076923077</v>
      </c>
      <c r="C35" s="60">
        <f t="shared" si="2"/>
        <v>0</v>
      </c>
      <c r="D35" s="65">
        <f>B2</f>
        <v>3719.9999999999995</v>
      </c>
      <c r="E35" s="58">
        <f t="shared" si="7"/>
        <v>69.960216998191683</v>
      </c>
      <c r="F35" s="60">
        <f t="shared" si="8"/>
        <v>44</v>
      </c>
      <c r="G35" s="58">
        <f t="shared" si="9"/>
        <v>44</v>
      </c>
      <c r="H35" s="60">
        <f t="shared" si="3"/>
        <v>44</v>
      </c>
      <c r="I35" s="61">
        <f t="shared" si="10"/>
        <v>3.3653846153846169E-3</v>
      </c>
      <c r="J35" s="61">
        <f t="shared" si="15"/>
        <v>8.4134615384615377E-2</v>
      </c>
      <c r="K35" s="173">
        <f t="shared" si="11"/>
        <v>84.134615384615373</v>
      </c>
      <c r="L35" s="136">
        <f t="shared" si="12"/>
        <v>1</v>
      </c>
      <c r="M35" s="59">
        <f t="shared" si="4"/>
        <v>0.15900049317770837</v>
      </c>
      <c r="N35" s="59">
        <f t="shared" si="16"/>
        <v>7.8737056213017773</v>
      </c>
      <c r="O35" s="59">
        <f t="shared" si="14"/>
        <v>2339.6153846153843</v>
      </c>
      <c r="P35" s="59">
        <f t="shared" si="5"/>
        <v>4679.2307692307686</v>
      </c>
      <c r="Q35" s="59">
        <f t="shared" si="6"/>
        <v>877.35576923076917</v>
      </c>
    </row>
    <row r="36" spans="1:17" x14ac:dyDescent="0.25">
      <c r="A36" s="59">
        <f t="shared" si="0"/>
        <v>70</v>
      </c>
      <c r="B36" s="62">
        <f t="shared" si="1"/>
        <v>17.5</v>
      </c>
      <c r="C36" s="60">
        <f t="shared" si="2"/>
        <v>0</v>
      </c>
      <c r="D36" s="65">
        <f>B2</f>
        <v>3719.9999999999995</v>
      </c>
      <c r="E36" s="58">
        <f t="shared" si="7"/>
        <v>70.857142857142847</v>
      </c>
      <c r="F36" s="60">
        <f t="shared" si="8"/>
        <v>44</v>
      </c>
      <c r="G36" s="58">
        <f t="shared" si="9"/>
        <v>44</v>
      </c>
      <c r="H36" s="60">
        <f t="shared" si="3"/>
        <v>44</v>
      </c>
      <c r="I36" s="61">
        <f t="shared" si="10"/>
        <v>3.3653846153846169E-3</v>
      </c>
      <c r="J36" s="61">
        <f t="shared" si="15"/>
        <v>8.7499999999999994E-2</v>
      </c>
      <c r="K36" s="173">
        <f t="shared" si="11"/>
        <v>87.5</v>
      </c>
      <c r="L36" s="136">
        <f t="shared" si="12"/>
        <v>1</v>
      </c>
      <c r="M36" s="59">
        <f t="shared" si="4"/>
        <v>0.16103896103896101</v>
      </c>
      <c r="N36" s="59">
        <f t="shared" si="16"/>
        <v>7.7740384615384643</v>
      </c>
      <c r="O36" s="59">
        <f t="shared" si="14"/>
        <v>2310</v>
      </c>
      <c r="P36" s="59">
        <f t="shared" si="5"/>
        <v>4620</v>
      </c>
      <c r="Q36" s="59">
        <f t="shared" si="6"/>
        <v>866.25</v>
      </c>
    </row>
    <row r="37" spans="1:17" x14ac:dyDescent="0.25">
      <c r="A37" s="59">
        <f t="shared" si="0"/>
        <v>70</v>
      </c>
      <c r="B37" s="62">
        <f t="shared" si="1"/>
        <v>18.173076923076923</v>
      </c>
      <c r="C37" s="60">
        <f t="shared" si="2"/>
        <v>0</v>
      </c>
      <c r="D37" s="65">
        <f>B2</f>
        <v>3719.9999999999995</v>
      </c>
      <c r="E37" s="58">
        <f t="shared" si="7"/>
        <v>71.777365491651196</v>
      </c>
      <c r="F37" s="60">
        <f t="shared" si="8"/>
        <v>44</v>
      </c>
      <c r="G37" s="58">
        <f t="shared" si="9"/>
        <v>44</v>
      </c>
      <c r="H37" s="60">
        <f t="shared" si="3"/>
        <v>44</v>
      </c>
      <c r="I37" s="61">
        <f t="shared" si="10"/>
        <v>3.3653846153846169E-3</v>
      </c>
      <c r="J37" s="61">
        <f t="shared" si="15"/>
        <v>9.0865384615384612E-2</v>
      </c>
      <c r="K37" s="173">
        <f t="shared" si="11"/>
        <v>90.865384615384613</v>
      </c>
      <c r="L37" s="136">
        <f t="shared" si="12"/>
        <v>1</v>
      </c>
      <c r="M37" s="59">
        <f t="shared" si="4"/>
        <v>0.16313037611738909</v>
      </c>
      <c r="N37" s="59">
        <f t="shared" si="16"/>
        <v>7.6743713017751514</v>
      </c>
      <c r="O37" s="59">
        <f t="shared" si="14"/>
        <v>2280.3846153846157</v>
      </c>
      <c r="P37" s="59">
        <f t="shared" si="5"/>
        <v>4560.7692307692314</v>
      </c>
      <c r="Q37" s="59">
        <f t="shared" si="6"/>
        <v>855.14423076923083</v>
      </c>
    </row>
    <row r="38" spans="1:17" x14ac:dyDescent="0.25">
      <c r="A38" s="59">
        <f t="shared" si="0"/>
        <v>70</v>
      </c>
      <c r="B38" s="62">
        <f t="shared" si="1"/>
        <v>18.846153846153847</v>
      </c>
      <c r="C38" s="60">
        <f t="shared" si="2"/>
        <v>0</v>
      </c>
      <c r="D38" s="65">
        <f>B2</f>
        <v>3719.9999999999995</v>
      </c>
      <c r="E38" s="58">
        <f t="shared" si="7"/>
        <v>72.721804511278194</v>
      </c>
      <c r="F38" s="60">
        <f t="shared" si="8"/>
        <v>44</v>
      </c>
      <c r="G38" s="58">
        <f t="shared" si="9"/>
        <v>44</v>
      </c>
      <c r="H38" s="60">
        <f t="shared" si="3"/>
        <v>44</v>
      </c>
      <c r="I38" s="61">
        <f t="shared" si="10"/>
        <v>3.3653846153846169E-3</v>
      </c>
      <c r="J38" s="61">
        <f t="shared" si="15"/>
        <v>9.4230769230769229E-2</v>
      </c>
      <c r="K38" s="173">
        <f t="shared" si="11"/>
        <v>94.230769230769226</v>
      </c>
      <c r="L38" s="136">
        <f t="shared" si="12"/>
        <v>1</v>
      </c>
      <c r="M38" s="59">
        <f t="shared" si="4"/>
        <v>0.16527682843472316</v>
      </c>
      <c r="N38" s="59">
        <f t="shared" si="16"/>
        <v>7.5747041420118375</v>
      </c>
      <c r="O38" s="59">
        <f t="shared" si="14"/>
        <v>2250.7692307692309</v>
      </c>
      <c r="P38" s="59">
        <f t="shared" si="5"/>
        <v>4501.5384615384619</v>
      </c>
      <c r="Q38" s="59">
        <f t="shared" si="6"/>
        <v>844.03846153846155</v>
      </c>
    </row>
    <row r="39" spans="1:17" x14ac:dyDescent="0.25">
      <c r="A39" s="59">
        <f t="shared" si="0"/>
        <v>70</v>
      </c>
      <c r="B39" s="62">
        <f t="shared" si="1"/>
        <v>19.51923076923077</v>
      </c>
      <c r="C39" s="60">
        <f t="shared" si="2"/>
        <v>0</v>
      </c>
      <c r="D39" s="65">
        <f>B2</f>
        <v>3719.9999999999995</v>
      </c>
      <c r="E39" s="58">
        <f t="shared" si="7"/>
        <v>73.691428571428574</v>
      </c>
      <c r="F39" s="60">
        <f t="shared" si="8"/>
        <v>44</v>
      </c>
      <c r="G39" s="58">
        <f t="shared" si="9"/>
        <v>44</v>
      </c>
      <c r="H39" s="60">
        <f t="shared" si="3"/>
        <v>44</v>
      </c>
      <c r="I39" s="61">
        <f t="shared" si="10"/>
        <v>3.3653846153846169E-3</v>
      </c>
      <c r="J39" s="61">
        <f t="shared" si="15"/>
        <v>9.7596153846153846E-2</v>
      </c>
      <c r="K39" s="173">
        <f t="shared" si="11"/>
        <v>97.59615384615384</v>
      </c>
      <c r="L39" s="136">
        <f t="shared" si="12"/>
        <v>1</v>
      </c>
      <c r="M39" s="59">
        <f t="shared" si="4"/>
        <v>0.16748051948051948</v>
      </c>
      <c r="N39" s="59">
        <f t="shared" si="16"/>
        <v>7.4750369822485228</v>
      </c>
      <c r="O39" s="59">
        <f t="shared" si="14"/>
        <v>2221.1538461538457</v>
      </c>
      <c r="P39" s="59">
        <f t="shared" si="5"/>
        <v>4442.3076923076915</v>
      </c>
      <c r="Q39" s="59">
        <f t="shared" si="6"/>
        <v>832.93269230769226</v>
      </c>
    </row>
    <row r="40" spans="1:17" x14ac:dyDescent="0.25">
      <c r="A40" s="59">
        <f t="shared" si="0"/>
        <v>70</v>
      </c>
      <c r="B40" s="62">
        <f t="shared" si="1"/>
        <v>20.19230769230769</v>
      </c>
      <c r="C40" s="60">
        <f t="shared" si="2"/>
        <v>0</v>
      </c>
      <c r="D40" s="65">
        <f>B2</f>
        <v>3719.9999999999995</v>
      </c>
      <c r="E40" s="58">
        <f t="shared" si="7"/>
        <v>74.687258687258677</v>
      </c>
      <c r="F40" s="60">
        <f t="shared" si="8"/>
        <v>44</v>
      </c>
      <c r="G40" s="58">
        <f t="shared" si="9"/>
        <v>44</v>
      </c>
      <c r="H40" s="60">
        <f t="shared" si="3"/>
        <v>44</v>
      </c>
      <c r="I40" s="61">
        <f t="shared" si="10"/>
        <v>3.3653846153845991E-3</v>
      </c>
      <c r="J40" s="61">
        <f t="shared" si="15"/>
        <v>0.10096153846153845</v>
      </c>
      <c r="K40" s="173">
        <f t="shared" si="11"/>
        <v>100.96153846153845</v>
      </c>
      <c r="L40" s="136">
        <f t="shared" si="12"/>
        <v>1</v>
      </c>
      <c r="M40" s="59">
        <f t="shared" si="4"/>
        <v>0.16974376974376973</v>
      </c>
      <c r="N40" s="59">
        <f t="shared" si="16"/>
        <v>7.3753698224851707</v>
      </c>
      <c r="O40" s="59">
        <f t="shared" si="14"/>
        <v>2191.5384615384614</v>
      </c>
      <c r="P40" s="59">
        <f t="shared" si="5"/>
        <v>4383.0769230769229</v>
      </c>
      <c r="Q40" s="59">
        <f t="shared" si="6"/>
        <v>821.82692307692309</v>
      </c>
    </row>
    <row r="41" spans="1:17" x14ac:dyDescent="0.25">
      <c r="A41" s="59">
        <f t="shared" si="0"/>
        <v>70</v>
      </c>
      <c r="B41" s="62">
        <f t="shared" si="1"/>
        <v>20.865384615384617</v>
      </c>
      <c r="C41" s="60">
        <f t="shared" si="2"/>
        <v>0</v>
      </c>
      <c r="D41" s="65">
        <f>B2</f>
        <v>3719.9999999999995</v>
      </c>
      <c r="E41" s="58">
        <f t="shared" si="7"/>
        <v>75.710371819960855</v>
      </c>
      <c r="F41" s="60">
        <f t="shared" si="8"/>
        <v>44</v>
      </c>
      <c r="G41" s="58">
        <f t="shared" si="9"/>
        <v>44</v>
      </c>
      <c r="H41" s="60">
        <f t="shared" si="3"/>
        <v>44</v>
      </c>
      <c r="I41" s="61">
        <f t="shared" si="10"/>
        <v>3.3653846153846342E-3</v>
      </c>
      <c r="J41" s="61">
        <f t="shared" si="15"/>
        <v>0.10432692307692308</v>
      </c>
      <c r="K41" s="173">
        <f t="shared" si="11"/>
        <v>104.32692307692308</v>
      </c>
      <c r="L41" s="136">
        <f t="shared" si="12"/>
        <v>1</v>
      </c>
      <c r="M41" s="59">
        <f t="shared" si="4"/>
        <v>0.17206902686354739</v>
      </c>
      <c r="N41" s="59">
        <f t="shared" si="16"/>
        <v>7.275702662721935</v>
      </c>
      <c r="O41" s="59">
        <f t="shared" si="14"/>
        <v>2161.9230769230771</v>
      </c>
      <c r="P41" s="59">
        <f t="shared" si="5"/>
        <v>4323.8461538461543</v>
      </c>
      <c r="Q41" s="59">
        <f t="shared" si="6"/>
        <v>810.72115384615392</v>
      </c>
    </row>
    <row r="42" spans="1:17" x14ac:dyDescent="0.25">
      <c r="A42" s="59">
        <f t="shared" ref="A42:A73" si="17">VINMAX</f>
        <v>70</v>
      </c>
      <c r="B42" s="62">
        <f t="shared" ref="B42:B73" si="18">VINMAX*((ROW()-10)/104)</f>
        <v>21.53846153846154</v>
      </c>
      <c r="C42" s="60">
        <f t="shared" ref="C42:C73" si="19">IF(B42&gt;=$H$2,IF($D$2="CC", $G$2, B42/$G$2), 0)</f>
        <v>0</v>
      </c>
      <c r="D42" s="65">
        <f>B2</f>
        <v>3719.9999999999995</v>
      </c>
      <c r="E42" s="58">
        <f t="shared" si="7"/>
        <v>76.761904761904759</v>
      </c>
      <c r="F42" s="60">
        <f t="shared" ref="F42:F73" si="20">I_Cout_ss+C42</f>
        <v>44</v>
      </c>
      <c r="G42" s="58">
        <f t="shared" si="9"/>
        <v>44</v>
      </c>
      <c r="H42" s="60">
        <f t="shared" ref="H42:H73" si="21">G42-C42</f>
        <v>44</v>
      </c>
      <c r="I42" s="61">
        <f t="shared" si="10"/>
        <v>3.3653846153846169E-3</v>
      </c>
      <c r="J42" s="61">
        <f t="shared" si="15"/>
        <v>0.1076923076923077</v>
      </c>
      <c r="K42" s="173">
        <f t="shared" si="11"/>
        <v>107.69230769230769</v>
      </c>
      <c r="L42" s="136">
        <f t="shared" si="12"/>
        <v>1</v>
      </c>
      <c r="M42" s="59">
        <f t="shared" ref="M42:M73" si="22">1/COUTMAX*(E42/2-C42)*1000</f>
        <v>0.17445887445887445</v>
      </c>
      <c r="N42" s="59">
        <f t="shared" si="16"/>
        <v>7.1760355029585821</v>
      </c>
      <c r="O42" s="59">
        <f t="shared" si="14"/>
        <v>2132.3076923076924</v>
      </c>
      <c r="P42" s="59">
        <f t="shared" ref="P42:P73" si="23">(A42-B42)*(I_Cout_ss*$Q$2+C42)</f>
        <v>4264.6153846153848</v>
      </c>
      <c r="Q42" s="59">
        <f t="shared" ref="Q42:Q73" si="24">(A42-B42)*(I_Cout_ss*$R$2+C42)</f>
        <v>799.61538461538464</v>
      </c>
    </row>
    <row r="43" spans="1:17" x14ac:dyDescent="0.25">
      <c r="A43" s="59">
        <f t="shared" si="17"/>
        <v>70</v>
      </c>
      <c r="B43" s="62">
        <f t="shared" si="18"/>
        <v>22.21153846153846</v>
      </c>
      <c r="C43" s="60">
        <f t="shared" si="19"/>
        <v>0</v>
      </c>
      <c r="D43" s="65">
        <f>B2</f>
        <v>3719.9999999999995</v>
      </c>
      <c r="E43" s="58">
        <f t="shared" si="7"/>
        <v>77.843058350100591</v>
      </c>
      <c r="F43" s="60">
        <f t="shared" si="20"/>
        <v>44</v>
      </c>
      <c r="G43" s="58">
        <f t="shared" si="9"/>
        <v>44</v>
      </c>
      <c r="H43" s="60">
        <f t="shared" si="21"/>
        <v>44</v>
      </c>
      <c r="I43" s="61">
        <f t="shared" ref="I43:I74" si="25">(COUTMAX/1000000)*(B43-B42)/H43</f>
        <v>3.3653846153845991E-3</v>
      </c>
      <c r="J43" s="61">
        <f t="shared" si="15"/>
        <v>0.1110576923076923</v>
      </c>
      <c r="K43" s="173">
        <f t="shared" si="11"/>
        <v>111.05769230769231</v>
      </c>
      <c r="L43" s="136">
        <f t="shared" si="12"/>
        <v>1</v>
      </c>
      <c r="M43" s="59">
        <f t="shared" si="22"/>
        <v>0.17691604170477407</v>
      </c>
      <c r="N43" s="59">
        <f t="shared" si="16"/>
        <v>7.0763683431952318</v>
      </c>
      <c r="O43" s="59">
        <f t="shared" si="14"/>
        <v>2102.6923076923076</v>
      </c>
      <c r="P43" s="59">
        <f t="shared" si="23"/>
        <v>4205.3846153846152</v>
      </c>
      <c r="Q43" s="59">
        <f t="shared" si="24"/>
        <v>788.50961538461536</v>
      </c>
    </row>
    <row r="44" spans="1:17" x14ac:dyDescent="0.25">
      <c r="A44" s="59">
        <f t="shared" si="17"/>
        <v>70</v>
      </c>
      <c r="B44" s="62">
        <f t="shared" si="18"/>
        <v>22.884615384615383</v>
      </c>
      <c r="C44" s="60">
        <f t="shared" si="19"/>
        <v>0</v>
      </c>
      <c r="D44" s="65">
        <f>B2</f>
        <v>3719.9999999999995</v>
      </c>
      <c r="E44" s="58">
        <f t="shared" si="7"/>
        <v>78.955102040816314</v>
      </c>
      <c r="F44" s="60">
        <f t="shared" si="20"/>
        <v>44</v>
      </c>
      <c r="G44" s="58">
        <f t="shared" si="9"/>
        <v>44</v>
      </c>
      <c r="H44" s="60">
        <f t="shared" si="21"/>
        <v>44</v>
      </c>
      <c r="I44" s="61">
        <f t="shared" si="25"/>
        <v>3.3653846153846169E-3</v>
      </c>
      <c r="J44" s="61">
        <f t="shared" si="15"/>
        <v>0.11442307692307692</v>
      </c>
      <c r="K44" s="173">
        <f t="shared" si="11"/>
        <v>114.42307692307692</v>
      </c>
      <c r="L44" s="136">
        <f t="shared" si="12"/>
        <v>1</v>
      </c>
      <c r="M44" s="59">
        <f t="shared" si="22"/>
        <v>0.179443413729128</v>
      </c>
      <c r="N44" s="59">
        <f t="shared" si="16"/>
        <v>6.9767011834319552</v>
      </c>
      <c r="O44" s="59">
        <f t="shared" si="14"/>
        <v>2073.0769230769229</v>
      </c>
      <c r="P44" s="59">
        <f t="shared" si="23"/>
        <v>4146.1538461538457</v>
      </c>
      <c r="Q44" s="59">
        <f t="shared" si="24"/>
        <v>777.40384615384608</v>
      </c>
    </row>
    <row r="45" spans="1:17" x14ac:dyDescent="0.25">
      <c r="A45" s="59">
        <f t="shared" si="17"/>
        <v>70</v>
      </c>
      <c r="B45" s="62">
        <f t="shared" si="18"/>
        <v>23.55769230769231</v>
      </c>
      <c r="C45" s="60">
        <f t="shared" si="19"/>
        <v>0</v>
      </c>
      <c r="D45" s="65">
        <f>B2</f>
        <v>3719.9999999999995</v>
      </c>
      <c r="E45" s="58">
        <f t="shared" si="7"/>
        <v>80.099378881987562</v>
      </c>
      <c r="F45" s="60">
        <f t="shared" si="20"/>
        <v>44</v>
      </c>
      <c r="G45" s="58">
        <f t="shared" si="9"/>
        <v>44</v>
      </c>
      <c r="H45" s="60">
        <f t="shared" si="21"/>
        <v>44</v>
      </c>
      <c r="I45" s="61">
        <f t="shared" si="25"/>
        <v>3.3653846153846342E-3</v>
      </c>
      <c r="J45" s="61">
        <f t="shared" si="15"/>
        <v>0.11778846153846155</v>
      </c>
      <c r="K45" s="173">
        <f t="shared" si="11"/>
        <v>117.78846153846155</v>
      </c>
      <c r="L45" s="136">
        <f t="shared" si="12"/>
        <v>1</v>
      </c>
      <c r="M45" s="59">
        <f t="shared" si="22"/>
        <v>0.1820440429136081</v>
      </c>
      <c r="N45" s="59">
        <f t="shared" si="16"/>
        <v>6.8770340236686778</v>
      </c>
      <c r="O45" s="59">
        <f t="shared" si="14"/>
        <v>2043.4615384615386</v>
      </c>
      <c r="P45" s="59">
        <f t="shared" si="23"/>
        <v>4086.9230769230771</v>
      </c>
      <c r="Q45" s="59">
        <f t="shared" si="24"/>
        <v>766.29807692307691</v>
      </c>
    </row>
    <row r="46" spans="1:17" x14ac:dyDescent="0.25">
      <c r="A46" s="59">
        <f t="shared" si="17"/>
        <v>70</v>
      </c>
      <c r="B46" s="62">
        <f t="shared" si="18"/>
        <v>24.23076923076923</v>
      </c>
      <c r="C46" s="60">
        <f t="shared" si="19"/>
        <v>0</v>
      </c>
      <c r="D46" s="65">
        <f>B2</f>
        <v>3719.9999999999995</v>
      </c>
      <c r="E46" s="58">
        <f t="shared" si="7"/>
        <v>81.277310924369729</v>
      </c>
      <c r="F46" s="60">
        <f t="shared" si="20"/>
        <v>44</v>
      </c>
      <c r="G46" s="58">
        <f t="shared" si="9"/>
        <v>44</v>
      </c>
      <c r="H46" s="60">
        <f t="shared" si="21"/>
        <v>44</v>
      </c>
      <c r="I46" s="61">
        <f t="shared" si="25"/>
        <v>3.3653846153845991E-3</v>
      </c>
      <c r="J46" s="61">
        <f t="shared" si="15"/>
        <v>0.12115384615384615</v>
      </c>
      <c r="K46" s="173">
        <f t="shared" si="11"/>
        <v>121.15384615384616</v>
      </c>
      <c r="L46" s="136">
        <f t="shared" si="12"/>
        <v>1</v>
      </c>
      <c r="M46" s="59">
        <f t="shared" si="22"/>
        <v>0.18472116119174939</v>
      </c>
      <c r="N46" s="59">
        <f t="shared" si="16"/>
        <v>6.7773668639052929</v>
      </c>
      <c r="O46" s="59">
        <f t="shared" si="14"/>
        <v>2013.846153846154</v>
      </c>
      <c r="P46" s="59">
        <f t="shared" si="23"/>
        <v>4027.6923076923081</v>
      </c>
      <c r="Q46" s="59">
        <f t="shared" si="24"/>
        <v>755.19230769230774</v>
      </c>
    </row>
    <row r="47" spans="1:17" x14ac:dyDescent="0.25">
      <c r="A47" s="59">
        <f t="shared" si="17"/>
        <v>70</v>
      </c>
      <c r="B47" s="62">
        <f t="shared" si="18"/>
        <v>24.903846153846153</v>
      </c>
      <c r="C47" s="60">
        <f t="shared" si="19"/>
        <v>0</v>
      </c>
      <c r="D47" s="65">
        <f>B2</f>
        <v>3719.9999999999995</v>
      </c>
      <c r="E47" s="58">
        <f t="shared" si="7"/>
        <v>82.490405117270782</v>
      </c>
      <c r="F47" s="60">
        <f t="shared" si="20"/>
        <v>44</v>
      </c>
      <c r="G47" s="58">
        <f t="shared" si="9"/>
        <v>44</v>
      </c>
      <c r="H47" s="60">
        <f t="shared" si="21"/>
        <v>44</v>
      </c>
      <c r="I47" s="61">
        <f t="shared" si="25"/>
        <v>3.3653846153846169E-3</v>
      </c>
      <c r="J47" s="61">
        <f t="shared" si="15"/>
        <v>0.12451923076923077</v>
      </c>
      <c r="K47" s="173">
        <f t="shared" si="11"/>
        <v>124.51923076923077</v>
      </c>
      <c r="L47" s="136">
        <f t="shared" si="12"/>
        <v>1</v>
      </c>
      <c r="M47" s="59">
        <f t="shared" si="22"/>
        <v>0.18747819344834268</v>
      </c>
      <c r="N47" s="59">
        <f t="shared" si="16"/>
        <v>6.6776997041420145</v>
      </c>
      <c r="O47" s="59">
        <f t="shared" si="14"/>
        <v>1984.2307692307693</v>
      </c>
      <c r="P47" s="59">
        <f t="shared" si="23"/>
        <v>3968.4615384615386</v>
      </c>
      <c r="Q47" s="59">
        <f t="shared" si="24"/>
        <v>744.08653846153845</v>
      </c>
    </row>
    <row r="48" spans="1:17" x14ac:dyDescent="0.25">
      <c r="A48" s="59">
        <f t="shared" si="17"/>
        <v>70</v>
      </c>
      <c r="B48" s="62">
        <f t="shared" si="18"/>
        <v>25.576923076923077</v>
      </c>
      <c r="C48" s="60">
        <f t="shared" si="19"/>
        <v>0</v>
      </c>
      <c r="D48" s="65">
        <f>B2</f>
        <v>3719.9999999999995</v>
      </c>
      <c r="E48" s="58">
        <f t="shared" si="7"/>
        <v>83.740259740259731</v>
      </c>
      <c r="F48" s="60">
        <f t="shared" si="20"/>
        <v>44</v>
      </c>
      <c r="G48" s="58">
        <f t="shared" si="9"/>
        <v>44</v>
      </c>
      <c r="H48" s="60">
        <f t="shared" si="21"/>
        <v>44</v>
      </c>
      <c r="I48" s="61">
        <f t="shared" si="25"/>
        <v>3.3653846153846169E-3</v>
      </c>
      <c r="J48" s="61">
        <f t="shared" si="15"/>
        <v>0.12788461538461537</v>
      </c>
      <c r="K48" s="173">
        <f t="shared" si="11"/>
        <v>127.88461538461537</v>
      </c>
      <c r="L48" s="136">
        <f t="shared" si="12"/>
        <v>1</v>
      </c>
      <c r="M48" s="59">
        <f t="shared" si="22"/>
        <v>0.19031877213695395</v>
      </c>
      <c r="N48" s="59">
        <f t="shared" si="16"/>
        <v>6.5780325443787007</v>
      </c>
      <c r="O48" s="59">
        <f t="shared" si="14"/>
        <v>1954.6153846153845</v>
      </c>
      <c r="P48" s="59">
        <f t="shared" si="23"/>
        <v>3909.2307692307691</v>
      </c>
      <c r="Q48" s="59">
        <f t="shared" si="24"/>
        <v>732.98076923076917</v>
      </c>
    </row>
    <row r="49" spans="1:17" x14ac:dyDescent="0.25">
      <c r="A49" s="59">
        <f t="shared" si="17"/>
        <v>70</v>
      </c>
      <c r="B49" s="62">
        <f t="shared" si="18"/>
        <v>26.25</v>
      </c>
      <c r="C49" s="60">
        <f t="shared" si="19"/>
        <v>0</v>
      </c>
      <c r="D49" s="65">
        <f>B2</f>
        <v>3719.9999999999995</v>
      </c>
      <c r="E49" s="58">
        <f t="shared" si="7"/>
        <v>85.028571428571425</v>
      </c>
      <c r="F49" s="60">
        <f t="shared" si="20"/>
        <v>44</v>
      </c>
      <c r="G49" s="58">
        <f t="shared" si="9"/>
        <v>44</v>
      </c>
      <c r="H49" s="60">
        <f t="shared" si="21"/>
        <v>44</v>
      </c>
      <c r="I49" s="61">
        <f t="shared" si="25"/>
        <v>3.3653846153846169E-3</v>
      </c>
      <c r="J49" s="61">
        <f t="shared" si="15"/>
        <v>0.13124999999999998</v>
      </c>
      <c r="K49" s="173">
        <f t="shared" si="11"/>
        <v>131.24999999999997</v>
      </c>
      <c r="L49" s="136">
        <f t="shared" si="12"/>
        <v>1</v>
      </c>
      <c r="M49" s="59">
        <f t="shared" si="22"/>
        <v>0.19324675324675325</v>
      </c>
      <c r="N49" s="59">
        <f t="shared" si="16"/>
        <v>6.4783653846153868</v>
      </c>
      <c r="O49" s="59">
        <f t="shared" si="14"/>
        <v>1925</v>
      </c>
      <c r="P49" s="59">
        <f t="shared" si="23"/>
        <v>3850</v>
      </c>
      <c r="Q49" s="59">
        <f t="shared" si="24"/>
        <v>721.875</v>
      </c>
    </row>
    <row r="50" spans="1:17" x14ac:dyDescent="0.25">
      <c r="A50" s="59">
        <f t="shared" si="17"/>
        <v>70</v>
      </c>
      <c r="B50" s="62">
        <f t="shared" si="18"/>
        <v>26.923076923076923</v>
      </c>
      <c r="C50" s="60">
        <f t="shared" si="19"/>
        <v>0</v>
      </c>
      <c r="D50" s="65">
        <f>B2</f>
        <v>3719.9999999999995</v>
      </c>
      <c r="E50" s="58">
        <f t="shared" si="7"/>
        <v>86.357142857142847</v>
      </c>
      <c r="F50" s="60">
        <f t="shared" si="20"/>
        <v>44</v>
      </c>
      <c r="G50" s="58">
        <f t="shared" si="9"/>
        <v>44</v>
      </c>
      <c r="H50" s="60">
        <f t="shared" si="21"/>
        <v>44</v>
      </c>
      <c r="I50" s="61">
        <f t="shared" si="25"/>
        <v>3.3653846153846169E-3</v>
      </c>
      <c r="J50" s="61">
        <f t="shared" si="15"/>
        <v>0.13461538461538458</v>
      </c>
      <c r="K50" s="173">
        <f t="shared" si="11"/>
        <v>134.61538461538458</v>
      </c>
      <c r="L50" s="136">
        <f t="shared" si="12"/>
        <v>1</v>
      </c>
      <c r="M50" s="59">
        <f t="shared" si="22"/>
        <v>0.19626623376623376</v>
      </c>
      <c r="N50" s="59">
        <f t="shared" si="16"/>
        <v>6.3786982248520738</v>
      </c>
      <c r="O50" s="59">
        <f t="shared" si="14"/>
        <v>1895.3846153846155</v>
      </c>
      <c r="P50" s="59">
        <f t="shared" si="23"/>
        <v>3790.7692307692309</v>
      </c>
      <c r="Q50" s="59">
        <f t="shared" si="24"/>
        <v>710.76923076923083</v>
      </c>
    </row>
    <row r="51" spans="1:17" x14ac:dyDescent="0.25">
      <c r="A51" s="59">
        <f t="shared" si="17"/>
        <v>70</v>
      </c>
      <c r="B51" s="62">
        <f t="shared" si="18"/>
        <v>27.596153846153847</v>
      </c>
      <c r="C51" s="60">
        <f t="shared" si="19"/>
        <v>0</v>
      </c>
      <c r="D51" s="65">
        <f>B2</f>
        <v>3719.9999999999995</v>
      </c>
      <c r="E51" s="58">
        <f t="shared" si="7"/>
        <v>87.727891156462576</v>
      </c>
      <c r="F51" s="60">
        <f t="shared" si="20"/>
        <v>44</v>
      </c>
      <c r="G51" s="58">
        <f t="shared" si="9"/>
        <v>44</v>
      </c>
      <c r="H51" s="60">
        <f t="shared" si="21"/>
        <v>44</v>
      </c>
      <c r="I51" s="61">
        <f t="shared" si="25"/>
        <v>3.3653846153846169E-3</v>
      </c>
      <c r="J51" s="61">
        <f t="shared" si="15"/>
        <v>0.13798076923076918</v>
      </c>
      <c r="K51" s="173">
        <f t="shared" si="11"/>
        <v>137.9807692307692</v>
      </c>
      <c r="L51" s="136">
        <f t="shared" si="12"/>
        <v>1</v>
      </c>
      <c r="M51" s="59">
        <f t="shared" si="22"/>
        <v>0.19938157081014224</v>
      </c>
      <c r="N51" s="59">
        <f t="shared" si="16"/>
        <v>6.27903106508876</v>
      </c>
      <c r="O51" s="59">
        <f t="shared" si="14"/>
        <v>1865.7692307692307</v>
      </c>
      <c r="P51" s="59">
        <f t="shared" si="23"/>
        <v>3731.5384615384614</v>
      </c>
      <c r="Q51" s="59">
        <f t="shared" si="24"/>
        <v>699.66346153846155</v>
      </c>
    </row>
    <row r="52" spans="1:17" x14ac:dyDescent="0.25">
      <c r="A52" s="59">
        <f t="shared" si="17"/>
        <v>70</v>
      </c>
      <c r="B52" s="62">
        <f t="shared" si="18"/>
        <v>28.26923076923077</v>
      </c>
      <c r="C52" s="60">
        <f t="shared" si="19"/>
        <v>0</v>
      </c>
      <c r="D52" s="65">
        <f>B2</f>
        <v>3719.9999999999995</v>
      </c>
      <c r="E52" s="58">
        <f t="shared" si="7"/>
        <v>89.142857142857139</v>
      </c>
      <c r="F52" s="60">
        <f t="shared" si="20"/>
        <v>44</v>
      </c>
      <c r="G52" s="58">
        <f t="shared" si="9"/>
        <v>44</v>
      </c>
      <c r="H52" s="60">
        <f t="shared" si="21"/>
        <v>44</v>
      </c>
      <c r="I52" s="61">
        <f t="shared" si="25"/>
        <v>3.3653846153846169E-3</v>
      </c>
      <c r="J52" s="61">
        <f t="shared" si="15"/>
        <v>0.14134615384615379</v>
      </c>
      <c r="K52" s="173">
        <f t="shared" si="11"/>
        <v>141.34615384615378</v>
      </c>
      <c r="L52" s="136">
        <f t="shared" si="12"/>
        <v>1</v>
      </c>
      <c r="M52" s="59">
        <f t="shared" si="22"/>
        <v>0.20259740259740261</v>
      </c>
      <c r="N52" s="59">
        <f t="shared" si="16"/>
        <v>6.1793639053254452</v>
      </c>
      <c r="O52" s="59">
        <f t="shared" si="14"/>
        <v>1836.153846153846</v>
      </c>
      <c r="P52" s="59">
        <f t="shared" si="23"/>
        <v>3672.3076923076919</v>
      </c>
      <c r="Q52" s="59">
        <f t="shared" si="24"/>
        <v>688.55769230769226</v>
      </c>
    </row>
    <row r="53" spans="1:17" x14ac:dyDescent="0.25">
      <c r="A53" s="59">
        <f t="shared" si="17"/>
        <v>70</v>
      </c>
      <c r="B53" s="62">
        <f t="shared" si="18"/>
        <v>28.94230769230769</v>
      </c>
      <c r="C53" s="60">
        <f t="shared" si="19"/>
        <v>0</v>
      </c>
      <c r="D53" s="65">
        <f>B2</f>
        <v>3719.9999999999995</v>
      </c>
      <c r="E53" s="58">
        <f t="shared" si="7"/>
        <v>90.604215456674467</v>
      </c>
      <c r="F53" s="60">
        <f t="shared" si="20"/>
        <v>44</v>
      </c>
      <c r="G53" s="58">
        <f t="shared" si="9"/>
        <v>44</v>
      </c>
      <c r="H53" s="60">
        <f t="shared" si="21"/>
        <v>44</v>
      </c>
      <c r="I53" s="61">
        <f t="shared" si="25"/>
        <v>3.3653846153845991E-3</v>
      </c>
      <c r="J53" s="61">
        <f t="shared" si="15"/>
        <v>0.14471153846153839</v>
      </c>
      <c r="K53" s="173">
        <f t="shared" si="11"/>
        <v>144.7115384615384</v>
      </c>
      <c r="L53" s="136">
        <f t="shared" si="12"/>
        <v>1</v>
      </c>
      <c r="M53" s="59">
        <f t="shared" si="22"/>
        <v>0.20591867149244197</v>
      </c>
      <c r="N53" s="59">
        <f t="shared" si="16"/>
        <v>6.0796967455621003</v>
      </c>
      <c r="O53" s="59">
        <f t="shared" si="14"/>
        <v>1806.5384615384614</v>
      </c>
      <c r="P53" s="59">
        <f t="shared" si="23"/>
        <v>3613.0769230769229</v>
      </c>
      <c r="Q53" s="59">
        <f t="shared" si="24"/>
        <v>677.45192307692309</v>
      </c>
    </row>
    <row r="54" spans="1:17" x14ac:dyDescent="0.25">
      <c r="A54" s="59">
        <f t="shared" si="17"/>
        <v>70</v>
      </c>
      <c r="B54" s="62">
        <f t="shared" si="18"/>
        <v>29.615384615384617</v>
      </c>
      <c r="C54" s="60">
        <f t="shared" si="19"/>
        <v>0</v>
      </c>
      <c r="D54" s="65">
        <f>B2</f>
        <v>3719.9999999999995</v>
      </c>
      <c r="E54" s="58">
        <f t="shared" si="7"/>
        <v>92.1142857142857</v>
      </c>
      <c r="F54" s="60">
        <f t="shared" si="20"/>
        <v>44</v>
      </c>
      <c r="G54" s="58">
        <f t="shared" si="9"/>
        <v>44</v>
      </c>
      <c r="H54" s="60">
        <f t="shared" si="21"/>
        <v>44</v>
      </c>
      <c r="I54" s="61">
        <f t="shared" si="25"/>
        <v>3.3653846153846342E-3</v>
      </c>
      <c r="J54" s="61">
        <f t="shared" si="15"/>
        <v>0.14807692307692302</v>
      </c>
      <c r="K54" s="173">
        <f t="shared" si="11"/>
        <v>148.07692307692301</v>
      </c>
      <c r="L54" s="136">
        <f t="shared" si="12"/>
        <v>1</v>
      </c>
      <c r="M54" s="59">
        <f t="shared" si="22"/>
        <v>0.20935064935064931</v>
      </c>
      <c r="N54" s="59">
        <f t="shared" si="16"/>
        <v>5.9800295857988504</v>
      </c>
      <c r="O54" s="59">
        <f t="shared" si="14"/>
        <v>1776.9230769230771</v>
      </c>
      <c r="P54" s="59">
        <f t="shared" si="23"/>
        <v>3553.8461538461543</v>
      </c>
      <c r="Q54" s="59">
        <f t="shared" si="24"/>
        <v>666.34615384615392</v>
      </c>
    </row>
    <row r="55" spans="1:17" x14ac:dyDescent="0.25">
      <c r="A55" s="59">
        <f t="shared" si="17"/>
        <v>70</v>
      </c>
      <c r="B55" s="62">
        <f t="shared" si="18"/>
        <v>30.28846153846154</v>
      </c>
      <c r="C55" s="60">
        <f t="shared" si="19"/>
        <v>0</v>
      </c>
      <c r="D55" s="65">
        <f>B2</f>
        <v>3719.9999999999995</v>
      </c>
      <c r="E55" s="58">
        <f t="shared" si="7"/>
        <v>93.675544794188852</v>
      </c>
      <c r="F55" s="60">
        <f t="shared" si="20"/>
        <v>44</v>
      </c>
      <c r="G55" s="58">
        <f t="shared" si="9"/>
        <v>44</v>
      </c>
      <c r="H55" s="60">
        <f t="shared" si="21"/>
        <v>44</v>
      </c>
      <c r="I55" s="61">
        <f t="shared" si="25"/>
        <v>3.3653846153846169E-3</v>
      </c>
      <c r="J55" s="61">
        <f t="shared" si="15"/>
        <v>0.15144230769230763</v>
      </c>
      <c r="K55" s="173">
        <f t="shared" si="11"/>
        <v>151.44230769230762</v>
      </c>
      <c r="L55" s="136">
        <f t="shared" si="12"/>
        <v>1</v>
      </c>
      <c r="M55" s="59">
        <f t="shared" si="22"/>
        <v>0.21289896544133829</v>
      </c>
      <c r="N55" s="59">
        <f t="shared" si="16"/>
        <v>5.8803624260355054</v>
      </c>
      <c r="O55" s="59">
        <f t="shared" si="14"/>
        <v>1747.3076923076922</v>
      </c>
      <c r="P55" s="59">
        <f t="shared" si="23"/>
        <v>3494.6153846153843</v>
      </c>
      <c r="Q55" s="59">
        <f t="shared" si="24"/>
        <v>655.24038461538464</v>
      </c>
    </row>
    <row r="56" spans="1:17" x14ac:dyDescent="0.25">
      <c r="A56" s="59">
        <f t="shared" si="17"/>
        <v>70</v>
      </c>
      <c r="B56" s="62">
        <f t="shared" si="18"/>
        <v>30.96153846153846</v>
      </c>
      <c r="C56" s="60">
        <f t="shared" si="19"/>
        <v>0</v>
      </c>
      <c r="D56" s="65">
        <f>B2</f>
        <v>3719.9999999999995</v>
      </c>
      <c r="E56" s="58">
        <f t="shared" si="7"/>
        <v>95.290640394088655</v>
      </c>
      <c r="F56" s="60">
        <f t="shared" si="20"/>
        <v>44</v>
      </c>
      <c r="G56" s="58">
        <f t="shared" si="9"/>
        <v>44</v>
      </c>
      <c r="H56" s="60">
        <f t="shared" si="21"/>
        <v>44</v>
      </c>
      <c r="I56" s="61">
        <f t="shared" si="25"/>
        <v>3.3653846153845991E-3</v>
      </c>
      <c r="J56" s="61">
        <f t="shared" si="15"/>
        <v>0.15480769230769223</v>
      </c>
      <c r="K56" s="173">
        <f t="shared" si="11"/>
        <v>154.80769230769224</v>
      </c>
      <c r="L56" s="136">
        <f t="shared" si="12"/>
        <v>1</v>
      </c>
      <c r="M56" s="59">
        <f t="shared" si="22"/>
        <v>0.2165696372592924</v>
      </c>
      <c r="N56" s="59">
        <f t="shared" si="16"/>
        <v>5.7806952662721613</v>
      </c>
      <c r="O56" s="59">
        <f t="shared" si="14"/>
        <v>1717.6923076923078</v>
      </c>
      <c r="P56" s="59">
        <f t="shared" si="23"/>
        <v>3435.3846153846157</v>
      </c>
      <c r="Q56" s="59">
        <f t="shared" si="24"/>
        <v>644.13461538461536</v>
      </c>
    </row>
    <row r="57" spans="1:17" x14ac:dyDescent="0.25">
      <c r="A57" s="59">
        <f t="shared" si="17"/>
        <v>70</v>
      </c>
      <c r="B57" s="62">
        <f t="shared" si="18"/>
        <v>31.634615384615383</v>
      </c>
      <c r="C57" s="60">
        <f t="shared" si="19"/>
        <v>0</v>
      </c>
      <c r="D57" s="65">
        <f>B2</f>
        <v>3719.9999999999995</v>
      </c>
      <c r="E57" s="58">
        <f t="shared" si="7"/>
        <v>96.962406015037587</v>
      </c>
      <c r="F57" s="60">
        <f t="shared" si="20"/>
        <v>44</v>
      </c>
      <c r="G57" s="58">
        <f t="shared" si="9"/>
        <v>44</v>
      </c>
      <c r="H57" s="60">
        <f t="shared" si="21"/>
        <v>44</v>
      </c>
      <c r="I57" s="61">
        <f t="shared" si="25"/>
        <v>3.3653846153846169E-3</v>
      </c>
      <c r="J57" s="61">
        <f t="shared" si="15"/>
        <v>0.15817307692307683</v>
      </c>
      <c r="K57" s="173">
        <f t="shared" si="11"/>
        <v>158.17307692307682</v>
      </c>
      <c r="L57" s="136">
        <f t="shared" si="12"/>
        <v>1</v>
      </c>
      <c r="M57" s="59">
        <f t="shared" si="22"/>
        <v>0.22036910457963088</v>
      </c>
      <c r="N57" s="59">
        <f t="shared" si="16"/>
        <v>5.6810281065088777</v>
      </c>
      <c r="O57" s="59">
        <f t="shared" si="14"/>
        <v>1688.0769230769229</v>
      </c>
      <c r="P57" s="59">
        <f t="shared" si="23"/>
        <v>3376.1538461538457</v>
      </c>
      <c r="Q57" s="59">
        <f t="shared" si="24"/>
        <v>633.02884615384608</v>
      </c>
    </row>
    <row r="58" spans="1:17" x14ac:dyDescent="0.25">
      <c r="A58" s="59">
        <f t="shared" si="17"/>
        <v>70</v>
      </c>
      <c r="B58" s="62">
        <f t="shared" si="18"/>
        <v>32.307692307692307</v>
      </c>
      <c r="C58" s="60">
        <f t="shared" si="19"/>
        <v>0</v>
      </c>
      <c r="D58" s="65">
        <f>B2</f>
        <v>3719.9999999999995</v>
      </c>
      <c r="E58" s="58">
        <f t="shared" si="7"/>
        <v>98.693877551020393</v>
      </c>
      <c r="F58" s="60">
        <f t="shared" si="20"/>
        <v>44</v>
      </c>
      <c r="G58" s="58">
        <f t="shared" si="9"/>
        <v>44</v>
      </c>
      <c r="H58" s="60">
        <f t="shared" si="21"/>
        <v>44</v>
      </c>
      <c r="I58" s="61">
        <f t="shared" si="25"/>
        <v>3.3653846153846169E-3</v>
      </c>
      <c r="J58" s="61">
        <f t="shared" si="15"/>
        <v>0.16153846153846144</v>
      </c>
      <c r="K58" s="173">
        <f t="shared" si="11"/>
        <v>161.53846153846143</v>
      </c>
      <c r="L58" s="136">
        <f t="shared" si="12"/>
        <v>1</v>
      </c>
      <c r="M58" s="59">
        <f t="shared" si="22"/>
        <v>0.22430426716140997</v>
      </c>
      <c r="N58" s="59">
        <f t="shared" si="16"/>
        <v>5.5813609467455647</v>
      </c>
      <c r="O58" s="59">
        <f t="shared" si="14"/>
        <v>1658.4615384615386</v>
      </c>
      <c r="P58" s="59">
        <f t="shared" si="23"/>
        <v>3316.9230769230771</v>
      </c>
      <c r="Q58" s="59">
        <f t="shared" si="24"/>
        <v>621.92307692307691</v>
      </c>
    </row>
    <row r="59" spans="1:17" x14ac:dyDescent="0.25">
      <c r="A59" s="59">
        <f t="shared" si="17"/>
        <v>70</v>
      </c>
      <c r="B59" s="62">
        <f t="shared" si="18"/>
        <v>32.980769230769234</v>
      </c>
      <c r="C59" s="60">
        <f t="shared" si="19"/>
        <v>0</v>
      </c>
      <c r="D59" s="65">
        <f>B2</f>
        <v>3719.9999999999995</v>
      </c>
      <c r="E59" s="58">
        <f t="shared" si="7"/>
        <v>100.48831168831168</v>
      </c>
      <c r="F59" s="60">
        <f t="shared" si="20"/>
        <v>44</v>
      </c>
      <c r="G59" s="58">
        <f t="shared" si="9"/>
        <v>44</v>
      </c>
      <c r="H59" s="60">
        <f t="shared" si="21"/>
        <v>44</v>
      </c>
      <c r="I59" s="61">
        <f t="shared" si="25"/>
        <v>3.3653846153846342E-3</v>
      </c>
      <c r="J59" s="61">
        <f t="shared" si="15"/>
        <v>0.16490384615384607</v>
      </c>
      <c r="K59" s="173">
        <f t="shared" si="11"/>
        <v>164.90384615384608</v>
      </c>
      <c r="L59" s="136">
        <f t="shared" si="12"/>
        <v>1</v>
      </c>
      <c r="M59" s="59">
        <f t="shared" si="22"/>
        <v>0.22838252656434474</v>
      </c>
      <c r="N59" s="59">
        <f t="shared" si="16"/>
        <v>5.4816937869822793</v>
      </c>
      <c r="O59" s="59">
        <f t="shared" si="14"/>
        <v>1628.8461538461538</v>
      </c>
      <c r="P59" s="59">
        <f t="shared" si="23"/>
        <v>3257.6923076923076</v>
      </c>
      <c r="Q59" s="59">
        <f t="shared" si="24"/>
        <v>610.81730769230762</v>
      </c>
    </row>
    <row r="60" spans="1:17" x14ac:dyDescent="0.25">
      <c r="A60" s="59">
        <f t="shared" si="17"/>
        <v>70</v>
      </c>
      <c r="B60" s="62">
        <f t="shared" si="18"/>
        <v>33.653846153846153</v>
      </c>
      <c r="C60" s="60">
        <f t="shared" si="19"/>
        <v>0</v>
      </c>
      <c r="D60" s="65">
        <f>B2</f>
        <v>3719.9999999999995</v>
      </c>
      <c r="E60" s="58">
        <f t="shared" si="7"/>
        <v>102.34920634920634</v>
      </c>
      <c r="F60" s="60">
        <f t="shared" si="20"/>
        <v>44</v>
      </c>
      <c r="G60" s="58">
        <f t="shared" si="9"/>
        <v>44</v>
      </c>
      <c r="H60" s="60">
        <f t="shared" si="21"/>
        <v>44</v>
      </c>
      <c r="I60" s="61">
        <f t="shared" si="25"/>
        <v>3.3653846153845991E-3</v>
      </c>
      <c r="J60" s="61">
        <f t="shared" si="15"/>
        <v>0.16826923076923067</v>
      </c>
      <c r="K60" s="173">
        <f t="shared" si="11"/>
        <v>168.26923076923066</v>
      </c>
      <c r="L60" s="136">
        <f t="shared" si="12"/>
        <v>1</v>
      </c>
      <c r="M60" s="59">
        <f t="shared" si="22"/>
        <v>0.23261183261183258</v>
      </c>
      <c r="N60" s="59">
        <f t="shared" si="16"/>
        <v>5.3820266272189086</v>
      </c>
      <c r="O60" s="59">
        <f t="shared" si="14"/>
        <v>1599.2307692307693</v>
      </c>
      <c r="P60" s="59">
        <f t="shared" si="23"/>
        <v>3198.4615384615386</v>
      </c>
      <c r="Q60" s="59">
        <f t="shared" si="24"/>
        <v>599.71153846153845</v>
      </c>
    </row>
    <row r="61" spans="1:17" x14ac:dyDescent="0.25">
      <c r="A61" s="59">
        <f t="shared" si="17"/>
        <v>70</v>
      </c>
      <c r="B61" s="62">
        <f t="shared" si="18"/>
        <v>34.326923076923073</v>
      </c>
      <c r="C61" s="60">
        <f t="shared" si="19"/>
        <v>0</v>
      </c>
      <c r="D61" s="65">
        <f>B2</f>
        <v>3719.9999999999995</v>
      </c>
      <c r="E61" s="58">
        <f t="shared" si="7"/>
        <v>104.28032345013474</v>
      </c>
      <c r="F61" s="60">
        <f t="shared" si="20"/>
        <v>44</v>
      </c>
      <c r="G61" s="58">
        <f t="shared" si="9"/>
        <v>44</v>
      </c>
      <c r="H61" s="60">
        <f t="shared" si="21"/>
        <v>44</v>
      </c>
      <c r="I61" s="61">
        <f t="shared" si="25"/>
        <v>3.3653846153845991E-3</v>
      </c>
      <c r="J61" s="61">
        <f t="shared" si="15"/>
        <v>0.17163461538461527</v>
      </c>
      <c r="K61" s="173">
        <f t="shared" si="11"/>
        <v>171.63461538461527</v>
      </c>
      <c r="L61" s="136">
        <f t="shared" si="12"/>
        <v>1</v>
      </c>
      <c r="M61" s="59">
        <f t="shared" si="22"/>
        <v>0.2370007351139426</v>
      </c>
      <c r="N61" s="59">
        <f>I61*G61*(A61-B61)</f>
        <v>5.2823594674555965</v>
      </c>
      <c r="O61" s="59">
        <f t="shared" si="14"/>
        <v>1569.6153846153848</v>
      </c>
      <c r="P61" s="59">
        <f t="shared" si="23"/>
        <v>3139.2307692307695</v>
      </c>
      <c r="Q61" s="59">
        <f t="shared" si="24"/>
        <v>588.60576923076928</v>
      </c>
    </row>
    <row r="62" spans="1:17" x14ac:dyDescent="0.25">
      <c r="A62" s="59">
        <f t="shared" si="17"/>
        <v>70</v>
      </c>
      <c r="B62" s="62">
        <f t="shared" si="18"/>
        <v>35</v>
      </c>
      <c r="C62" s="60">
        <f t="shared" si="19"/>
        <v>0</v>
      </c>
      <c r="D62" s="65">
        <f>B2</f>
        <v>3719.9999999999995</v>
      </c>
      <c r="E62" s="58">
        <f t="shared" si="7"/>
        <v>106.28571428571428</v>
      </c>
      <c r="F62" s="60">
        <f t="shared" si="20"/>
        <v>44</v>
      </c>
      <c r="G62" s="58">
        <f t="shared" si="9"/>
        <v>44</v>
      </c>
      <c r="H62" s="60">
        <f t="shared" si="21"/>
        <v>44</v>
      </c>
      <c r="I62" s="61">
        <f t="shared" si="25"/>
        <v>3.3653846153846342E-3</v>
      </c>
      <c r="J62" s="61">
        <f t="shared" si="15"/>
        <v>0.17499999999999991</v>
      </c>
      <c r="K62" s="173">
        <f t="shared" si="11"/>
        <v>174.99999999999991</v>
      </c>
      <c r="L62" s="136">
        <f t="shared" si="12"/>
        <v>1</v>
      </c>
      <c r="M62" s="59">
        <f t="shared" si="22"/>
        <v>0.24155844155844153</v>
      </c>
      <c r="N62" s="59">
        <f t="shared" si="16"/>
        <v>5.1826923076923368</v>
      </c>
      <c r="O62" s="59">
        <f t="shared" si="14"/>
        <v>1540</v>
      </c>
      <c r="P62" s="59">
        <f t="shared" si="23"/>
        <v>3080</v>
      </c>
      <c r="Q62" s="59">
        <f t="shared" si="24"/>
        <v>577.5</v>
      </c>
    </row>
    <row r="63" spans="1:17" x14ac:dyDescent="0.25">
      <c r="A63" s="59">
        <f t="shared" si="17"/>
        <v>70</v>
      </c>
      <c r="B63" s="62">
        <f t="shared" si="18"/>
        <v>35.67307692307692</v>
      </c>
      <c r="C63" s="60">
        <f t="shared" si="19"/>
        <v>0</v>
      </c>
      <c r="D63" s="65">
        <f>B2</f>
        <v>3719.9999999999995</v>
      </c>
      <c r="E63" s="58">
        <f t="shared" si="7"/>
        <v>108.36974789915963</v>
      </c>
      <c r="F63" s="60">
        <f t="shared" si="20"/>
        <v>44</v>
      </c>
      <c r="G63" s="58">
        <f t="shared" si="9"/>
        <v>44</v>
      </c>
      <c r="H63" s="60">
        <f t="shared" si="21"/>
        <v>44</v>
      </c>
      <c r="I63" s="61">
        <f t="shared" si="25"/>
        <v>3.3653846153845991E-3</v>
      </c>
      <c r="J63" s="61">
        <f t="shared" si="15"/>
        <v>0.17836538461538451</v>
      </c>
      <c r="K63" s="173">
        <f t="shared" si="11"/>
        <v>178.3653846153845</v>
      </c>
      <c r="L63" s="136">
        <f t="shared" si="12"/>
        <v>1</v>
      </c>
      <c r="M63" s="59">
        <f t="shared" si="22"/>
        <v>0.24629488158899915</v>
      </c>
      <c r="N63" s="59">
        <f t="shared" si="16"/>
        <v>5.0830251479289696</v>
      </c>
      <c r="O63" s="59">
        <f t="shared" si="14"/>
        <v>1510.3846153846155</v>
      </c>
      <c r="P63" s="59">
        <f t="shared" si="23"/>
        <v>3020.7692307692309</v>
      </c>
      <c r="Q63" s="59">
        <f t="shared" si="24"/>
        <v>566.39423076923083</v>
      </c>
    </row>
    <row r="64" spans="1:17" x14ac:dyDescent="0.25">
      <c r="A64" s="59">
        <f t="shared" si="17"/>
        <v>70</v>
      </c>
      <c r="B64" s="62">
        <f t="shared" si="18"/>
        <v>36.346153846153847</v>
      </c>
      <c r="C64" s="60">
        <f t="shared" si="19"/>
        <v>0</v>
      </c>
      <c r="D64" s="65">
        <f>B2</f>
        <v>3719.9999999999995</v>
      </c>
      <c r="E64" s="58">
        <f t="shared" si="7"/>
        <v>110.53714285714284</v>
      </c>
      <c r="F64" s="60">
        <f t="shared" si="20"/>
        <v>44</v>
      </c>
      <c r="G64" s="58">
        <f t="shared" si="9"/>
        <v>44</v>
      </c>
      <c r="H64" s="60">
        <f t="shared" si="21"/>
        <v>44</v>
      </c>
      <c r="I64" s="61">
        <f t="shared" si="25"/>
        <v>3.3653846153846342E-3</v>
      </c>
      <c r="J64" s="61">
        <f t="shared" si="15"/>
        <v>0.18173076923076914</v>
      </c>
      <c r="K64" s="173">
        <f t="shared" si="11"/>
        <v>181.73076923076914</v>
      </c>
      <c r="L64" s="136">
        <f t="shared" si="12"/>
        <v>1</v>
      </c>
      <c r="M64" s="59">
        <f t="shared" si="22"/>
        <v>0.25122077922077918</v>
      </c>
      <c r="N64" s="59">
        <f t="shared" si="16"/>
        <v>4.9833579881657082</v>
      </c>
      <c r="O64" s="59">
        <f t="shared" si="14"/>
        <v>1480.7692307692307</v>
      </c>
      <c r="P64" s="59">
        <f t="shared" si="23"/>
        <v>2961.5384615384614</v>
      </c>
      <c r="Q64" s="59">
        <f t="shared" si="24"/>
        <v>555.28846153846155</v>
      </c>
    </row>
    <row r="65" spans="1:17" x14ac:dyDescent="0.25">
      <c r="A65" s="59">
        <f t="shared" si="17"/>
        <v>70</v>
      </c>
      <c r="B65" s="62">
        <f t="shared" si="18"/>
        <v>37.019230769230766</v>
      </c>
      <c r="C65" s="60">
        <f t="shared" si="19"/>
        <v>0</v>
      </c>
      <c r="D65" s="65">
        <f>B2</f>
        <v>3719.9999999999995</v>
      </c>
      <c r="E65" s="58">
        <f t="shared" si="7"/>
        <v>112.79300291545186</v>
      </c>
      <c r="F65" s="60">
        <f t="shared" si="20"/>
        <v>44</v>
      </c>
      <c r="G65" s="58">
        <f t="shared" si="9"/>
        <v>44</v>
      </c>
      <c r="H65" s="60">
        <f t="shared" si="21"/>
        <v>44</v>
      </c>
      <c r="I65" s="61">
        <f t="shared" si="25"/>
        <v>3.3653846153845991E-3</v>
      </c>
      <c r="J65" s="61">
        <f t="shared" si="15"/>
        <v>0.18509615384615374</v>
      </c>
      <c r="K65" s="173">
        <f t="shared" si="11"/>
        <v>185.09615384615375</v>
      </c>
      <c r="L65" s="136">
        <f t="shared" si="12"/>
        <v>1</v>
      </c>
      <c r="M65" s="59">
        <f t="shared" si="22"/>
        <v>0.25634773389875426</v>
      </c>
      <c r="N65" s="59">
        <f t="shared" si="16"/>
        <v>4.8836908284023437</v>
      </c>
      <c r="O65" s="59">
        <f t="shared" si="14"/>
        <v>1451.1538461538462</v>
      </c>
      <c r="P65" s="59">
        <f t="shared" si="23"/>
        <v>2902.3076923076924</v>
      </c>
      <c r="Q65" s="59">
        <f t="shared" si="24"/>
        <v>544.18269230769238</v>
      </c>
    </row>
    <row r="66" spans="1:17" x14ac:dyDescent="0.25">
      <c r="A66" s="59">
        <f t="shared" si="17"/>
        <v>70</v>
      </c>
      <c r="B66" s="62">
        <f t="shared" si="18"/>
        <v>37.692307692307693</v>
      </c>
      <c r="C66" s="60">
        <f t="shared" si="19"/>
        <v>0</v>
      </c>
      <c r="D66" s="65">
        <f>B2</f>
        <v>3719.9999999999995</v>
      </c>
      <c r="E66" s="58">
        <f t="shared" si="7"/>
        <v>115.14285714285714</v>
      </c>
      <c r="F66" s="60">
        <f t="shared" si="20"/>
        <v>44</v>
      </c>
      <c r="G66" s="58">
        <f t="shared" si="9"/>
        <v>44</v>
      </c>
      <c r="H66" s="60">
        <f t="shared" si="21"/>
        <v>44</v>
      </c>
      <c r="I66" s="61">
        <f t="shared" si="25"/>
        <v>3.3653846153846342E-3</v>
      </c>
      <c r="J66" s="61">
        <f t="shared" si="15"/>
        <v>0.18846153846153837</v>
      </c>
      <c r="K66" s="173">
        <f t="shared" si="11"/>
        <v>188.46153846153837</v>
      </c>
      <c r="L66" s="136">
        <f t="shared" si="12"/>
        <v>1</v>
      </c>
      <c r="M66" s="59">
        <f t="shared" si="22"/>
        <v>0.26168831168831169</v>
      </c>
      <c r="N66" s="59">
        <f t="shared" si="16"/>
        <v>4.7840236686390805</v>
      </c>
      <c r="O66" s="59">
        <f t="shared" si="14"/>
        <v>1421.5384615384614</v>
      </c>
      <c r="P66" s="59">
        <f t="shared" si="23"/>
        <v>2843.0769230769229</v>
      </c>
      <c r="Q66" s="59">
        <f t="shared" si="24"/>
        <v>533.07692307692309</v>
      </c>
    </row>
    <row r="67" spans="1:17" x14ac:dyDescent="0.25">
      <c r="A67" s="59">
        <f t="shared" si="17"/>
        <v>70</v>
      </c>
      <c r="B67" s="62">
        <f t="shared" si="18"/>
        <v>38.36538461538462</v>
      </c>
      <c r="C67" s="60">
        <f t="shared" si="19"/>
        <v>0</v>
      </c>
      <c r="D67" s="65">
        <f>B2</f>
        <v>3719.9999999999995</v>
      </c>
      <c r="E67" s="58">
        <f t="shared" si="7"/>
        <v>117.59270516717325</v>
      </c>
      <c r="F67" s="60">
        <f t="shared" si="20"/>
        <v>44</v>
      </c>
      <c r="G67" s="58">
        <f t="shared" si="9"/>
        <v>44</v>
      </c>
      <c r="H67" s="60">
        <f t="shared" si="21"/>
        <v>44</v>
      </c>
      <c r="I67" s="61">
        <f t="shared" si="25"/>
        <v>3.3653846153846342E-3</v>
      </c>
      <c r="J67" s="61">
        <f t="shared" si="15"/>
        <v>0.19182692307692301</v>
      </c>
      <c r="K67" s="173">
        <f t="shared" si="11"/>
        <v>191.82692307692301</v>
      </c>
      <c r="L67" s="136">
        <f t="shared" si="12"/>
        <v>1</v>
      </c>
      <c r="M67" s="59">
        <f t="shared" si="22"/>
        <v>0.26725614810721193</v>
      </c>
      <c r="N67" s="59">
        <f t="shared" si="16"/>
        <v>4.6843565088757657</v>
      </c>
      <c r="O67" s="59">
        <f t="shared" si="14"/>
        <v>1391.9230769230767</v>
      </c>
      <c r="P67" s="59">
        <f t="shared" si="23"/>
        <v>2783.8461538461534</v>
      </c>
      <c r="Q67" s="59">
        <f t="shared" si="24"/>
        <v>521.97115384615381</v>
      </c>
    </row>
    <row r="68" spans="1:17" x14ac:dyDescent="0.25">
      <c r="A68" s="59">
        <f t="shared" si="17"/>
        <v>70</v>
      </c>
      <c r="B68" s="62">
        <f t="shared" si="18"/>
        <v>39.03846153846154</v>
      </c>
      <c r="C68" s="60">
        <f t="shared" si="19"/>
        <v>0</v>
      </c>
      <c r="D68" s="65">
        <f>B2</f>
        <v>3719.9999999999995</v>
      </c>
      <c r="E68" s="58">
        <f t="shared" si="7"/>
        <v>120.14906832298136</v>
      </c>
      <c r="F68" s="60">
        <f t="shared" si="20"/>
        <v>44</v>
      </c>
      <c r="G68" s="58">
        <f t="shared" si="9"/>
        <v>44</v>
      </c>
      <c r="H68" s="60">
        <f t="shared" si="21"/>
        <v>44</v>
      </c>
      <c r="I68" s="61">
        <f t="shared" si="25"/>
        <v>3.3653846153845991E-3</v>
      </c>
      <c r="J68" s="61">
        <f t="shared" si="15"/>
        <v>0.19519230769230761</v>
      </c>
      <c r="K68" s="173">
        <f t="shared" si="11"/>
        <v>195.19230769230762</v>
      </c>
      <c r="L68" s="136">
        <f t="shared" si="12"/>
        <v>1</v>
      </c>
      <c r="M68" s="59">
        <f t="shared" si="22"/>
        <v>0.2730660643704122</v>
      </c>
      <c r="N68" s="59">
        <f t="shared" si="16"/>
        <v>4.5846893491124039</v>
      </c>
      <c r="O68" s="59">
        <f t="shared" si="14"/>
        <v>1362.3076923076922</v>
      </c>
      <c r="P68" s="59">
        <f t="shared" si="23"/>
        <v>2724.6153846153843</v>
      </c>
      <c r="Q68" s="59">
        <f t="shared" si="24"/>
        <v>510.86538461538458</v>
      </c>
    </row>
    <row r="69" spans="1:17" x14ac:dyDescent="0.25">
      <c r="A69" s="59">
        <f t="shared" si="17"/>
        <v>70</v>
      </c>
      <c r="B69" s="62">
        <f t="shared" si="18"/>
        <v>39.71153846153846</v>
      </c>
      <c r="C69" s="60">
        <f t="shared" si="19"/>
        <v>0</v>
      </c>
      <c r="D69" s="65">
        <f>B2</f>
        <v>3719.9999999999995</v>
      </c>
      <c r="E69" s="58">
        <f t="shared" si="7"/>
        <v>122.81904761904759</v>
      </c>
      <c r="F69" s="60">
        <f t="shared" si="20"/>
        <v>44</v>
      </c>
      <c r="G69" s="58">
        <f t="shared" si="9"/>
        <v>44</v>
      </c>
      <c r="H69" s="60">
        <f t="shared" si="21"/>
        <v>44</v>
      </c>
      <c r="I69" s="61">
        <f t="shared" si="25"/>
        <v>3.3653846153845991E-3</v>
      </c>
      <c r="J69" s="61">
        <f t="shared" si="15"/>
        <v>0.19855769230769221</v>
      </c>
      <c r="K69" s="173">
        <f t="shared" si="11"/>
        <v>198.55769230769221</v>
      </c>
      <c r="L69" s="136">
        <f t="shared" si="12"/>
        <v>1</v>
      </c>
      <c r="M69" s="59">
        <f t="shared" si="22"/>
        <v>0.27913419913419907</v>
      </c>
      <c r="N69" s="59">
        <f t="shared" si="16"/>
        <v>4.4850221893490909</v>
      </c>
      <c r="O69" s="59">
        <f t="shared" si="14"/>
        <v>1332.6923076923078</v>
      </c>
      <c r="P69" s="59">
        <f t="shared" si="23"/>
        <v>2665.3846153846157</v>
      </c>
      <c r="Q69" s="59">
        <f t="shared" si="24"/>
        <v>499.75961538461542</v>
      </c>
    </row>
    <row r="70" spans="1:17" x14ac:dyDescent="0.25">
      <c r="A70" s="59">
        <f t="shared" si="17"/>
        <v>70</v>
      </c>
      <c r="B70" s="62">
        <f t="shared" si="18"/>
        <v>40.38461538461538</v>
      </c>
      <c r="C70" s="60">
        <f t="shared" si="19"/>
        <v>10</v>
      </c>
      <c r="D70" s="65">
        <f>B2</f>
        <v>3719.9999999999995</v>
      </c>
      <c r="E70" s="58">
        <f t="shared" si="7"/>
        <v>125.61038961038957</v>
      </c>
      <c r="F70" s="60">
        <f t="shared" si="20"/>
        <v>54</v>
      </c>
      <c r="G70" s="58">
        <f t="shared" si="9"/>
        <v>54</v>
      </c>
      <c r="H70" s="60">
        <f t="shared" si="21"/>
        <v>44</v>
      </c>
      <c r="I70" s="61">
        <f t="shared" si="25"/>
        <v>3.3653846153845991E-3</v>
      </c>
      <c r="J70" s="61">
        <f t="shared" si="15"/>
        <v>0.20192307692307682</v>
      </c>
      <c r="K70" s="173">
        <f t="shared" si="11"/>
        <v>201.92307692307682</v>
      </c>
      <c r="L70" s="136">
        <f t="shared" si="12"/>
        <v>0.81481481481481477</v>
      </c>
      <c r="M70" s="59">
        <f t="shared" si="22"/>
        <v>0.24002361275088541</v>
      </c>
      <c r="N70" s="59">
        <f t="shared" si="16"/>
        <v>5.3820266272189103</v>
      </c>
      <c r="O70" s="59">
        <f t="shared" si="14"/>
        <v>1599.2307692307695</v>
      </c>
      <c r="P70" s="59">
        <f t="shared" si="23"/>
        <v>2902.3076923076928</v>
      </c>
      <c r="Q70" s="59">
        <f t="shared" si="24"/>
        <v>784.80769230769249</v>
      </c>
    </row>
    <row r="71" spans="1:17" x14ac:dyDescent="0.25">
      <c r="A71" s="59">
        <f t="shared" si="17"/>
        <v>70</v>
      </c>
      <c r="B71" s="62">
        <f t="shared" si="18"/>
        <v>41.057692307692307</v>
      </c>
      <c r="C71" s="60">
        <f t="shared" si="19"/>
        <v>10</v>
      </c>
      <c r="D71" s="65">
        <f>B2</f>
        <v>3719.9999999999995</v>
      </c>
      <c r="E71" s="58">
        <f t="shared" si="7"/>
        <v>128.53156146179401</v>
      </c>
      <c r="F71" s="60">
        <f t="shared" si="20"/>
        <v>54</v>
      </c>
      <c r="G71" s="58">
        <f t="shared" si="9"/>
        <v>54</v>
      </c>
      <c r="H71" s="60">
        <f t="shared" si="21"/>
        <v>44</v>
      </c>
      <c r="I71" s="61">
        <f t="shared" si="25"/>
        <v>3.3653846153846342E-3</v>
      </c>
      <c r="J71" s="61">
        <f t="shared" si="15"/>
        <v>0.20528846153846145</v>
      </c>
      <c r="K71" s="173">
        <f t="shared" si="11"/>
        <v>205.28846153846143</v>
      </c>
      <c r="L71" s="136">
        <f t="shared" si="12"/>
        <v>0.81481481481481477</v>
      </c>
      <c r="M71" s="59">
        <f t="shared" si="22"/>
        <v>0.2466626396858955</v>
      </c>
      <c r="N71" s="59">
        <f t="shared" si="16"/>
        <v>5.2597078402367163</v>
      </c>
      <c r="O71" s="59">
        <f t="shared" si="14"/>
        <v>1562.8846153846155</v>
      </c>
      <c r="P71" s="59">
        <f t="shared" si="23"/>
        <v>2836.3461538461538</v>
      </c>
      <c r="Q71" s="59">
        <f t="shared" si="24"/>
        <v>766.97115384615392</v>
      </c>
    </row>
    <row r="72" spans="1:17" x14ac:dyDescent="0.25">
      <c r="A72" s="59">
        <f t="shared" si="17"/>
        <v>70</v>
      </c>
      <c r="B72" s="62">
        <f t="shared" si="18"/>
        <v>41.730769230769234</v>
      </c>
      <c r="C72" s="60">
        <f t="shared" si="19"/>
        <v>10</v>
      </c>
      <c r="D72" s="65">
        <f>B2</f>
        <v>3719.9999999999995</v>
      </c>
      <c r="E72" s="58">
        <f t="shared" si="7"/>
        <v>131.59183673469389</v>
      </c>
      <c r="F72" s="60">
        <f t="shared" si="20"/>
        <v>54</v>
      </c>
      <c r="G72" s="58">
        <f t="shared" si="9"/>
        <v>54</v>
      </c>
      <c r="H72" s="60">
        <f t="shared" si="21"/>
        <v>44</v>
      </c>
      <c r="I72" s="61">
        <f t="shared" si="25"/>
        <v>3.3653846153846342E-3</v>
      </c>
      <c r="J72" s="61">
        <f t="shared" si="15"/>
        <v>0.20865384615384608</v>
      </c>
      <c r="K72" s="173">
        <f t="shared" si="11"/>
        <v>208.65384615384608</v>
      </c>
      <c r="L72" s="136">
        <f t="shared" si="12"/>
        <v>0.81481481481481477</v>
      </c>
      <c r="M72" s="59">
        <f t="shared" si="22"/>
        <v>0.25361781076066797</v>
      </c>
      <c r="N72" s="59">
        <f t="shared" si="16"/>
        <v>5.1373890532544664</v>
      </c>
      <c r="O72" s="59">
        <f t="shared" si="14"/>
        <v>1526.5384615384614</v>
      </c>
      <c r="P72" s="59">
        <f t="shared" si="23"/>
        <v>2770.3846153846152</v>
      </c>
      <c r="Q72" s="59">
        <f t="shared" si="24"/>
        <v>749.13461538461536</v>
      </c>
    </row>
    <row r="73" spans="1:17" x14ac:dyDescent="0.25">
      <c r="A73" s="59">
        <f t="shared" si="17"/>
        <v>70</v>
      </c>
      <c r="B73" s="62">
        <f t="shared" si="18"/>
        <v>42.403846153846153</v>
      </c>
      <c r="C73" s="60">
        <f t="shared" si="19"/>
        <v>10</v>
      </c>
      <c r="D73" s="65">
        <f>B2</f>
        <v>3719.9999999999995</v>
      </c>
      <c r="E73" s="58">
        <f t="shared" si="7"/>
        <v>134.80139372822299</v>
      </c>
      <c r="F73" s="60">
        <f t="shared" si="20"/>
        <v>54</v>
      </c>
      <c r="G73" s="58">
        <f t="shared" si="9"/>
        <v>54</v>
      </c>
      <c r="H73" s="60">
        <f t="shared" si="21"/>
        <v>44</v>
      </c>
      <c r="I73" s="61">
        <f t="shared" si="25"/>
        <v>3.3653846153845991E-3</v>
      </c>
      <c r="J73" s="61">
        <f t="shared" si="15"/>
        <v>0.21201923076923068</v>
      </c>
      <c r="K73" s="173">
        <f t="shared" si="11"/>
        <v>212.01923076923069</v>
      </c>
      <c r="L73" s="136">
        <f t="shared" si="12"/>
        <v>0.81481481481481477</v>
      </c>
      <c r="M73" s="59">
        <f t="shared" si="22"/>
        <v>0.26091225847323407</v>
      </c>
      <c r="N73" s="59">
        <f t="shared" si="16"/>
        <v>5.0150702662721658</v>
      </c>
      <c r="O73" s="59">
        <f t="shared" si="14"/>
        <v>1490.1923076923076</v>
      </c>
      <c r="P73" s="59">
        <f t="shared" si="23"/>
        <v>2704.4230769230771</v>
      </c>
      <c r="Q73" s="59">
        <f t="shared" si="24"/>
        <v>731.29807692307691</v>
      </c>
    </row>
    <row r="74" spans="1:17" x14ac:dyDescent="0.25">
      <c r="A74" s="59">
        <f t="shared" ref="A74:A105" si="26">VINMAX</f>
        <v>70</v>
      </c>
      <c r="B74" s="62">
        <f t="shared" ref="B74:B105" si="27">VINMAX*((ROW()-10)/104)</f>
        <v>43.07692307692308</v>
      </c>
      <c r="C74" s="60">
        <f t="shared" ref="C74:C105" si="28">IF(B74&gt;=$H$2,IF($D$2="CC", $G$2, B74/$G$2), 0)</f>
        <v>10</v>
      </c>
      <c r="D74" s="65">
        <f>B2</f>
        <v>3719.9999999999995</v>
      </c>
      <c r="E74" s="58">
        <f t="shared" si="7"/>
        <v>138.17142857142858</v>
      </c>
      <c r="F74" s="60">
        <f t="shared" ref="F74:F105" si="29">I_Cout_ss+C74</f>
        <v>54</v>
      </c>
      <c r="G74" s="58">
        <f t="shared" si="9"/>
        <v>54</v>
      </c>
      <c r="H74" s="60">
        <f t="shared" ref="H74:H105" si="30">G74-C74</f>
        <v>44</v>
      </c>
      <c r="I74" s="61">
        <f t="shared" si="25"/>
        <v>3.3653846153846342E-3</v>
      </c>
      <c r="J74" s="61">
        <f t="shared" si="15"/>
        <v>0.21538461538461531</v>
      </c>
      <c r="K74" s="173">
        <f t="shared" si="11"/>
        <v>215.3846153846153</v>
      </c>
      <c r="L74" s="136">
        <f t="shared" si="12"/>
        <v>0.81481481481481477</v>
      </c>
      <c r="M74" s="59">
        <f t="shared" ref="M74:M105" si="31">1/COUTMAX*(E74/2-C74)*1000</f>
        <v>0.26857142857142857</v>
      </c>
      <c r="N74" s="59">
        <f t="shared" si="16"/>
        <v>4.8927514792899673</v>
      </c>
      <c r="O74" s="59">
        <f t="shared" si="14"/>
        <v>1453.8461538461536</v>
      </c>
      <c r="P74" s="59">
        <f t="shared" ref="P74:P105" si="32">(A74-B74)*(I_Cout_ss*$Q$2+C74)</f>
        <v>2638.4615384615381</v>
      </c>
      <c r="Q74" s="59">
        <f t="shared" ref="Q74:Q105" si="33">(A74-B74)*(I_Cout_ss*$R$2+C74)</f>
        <v>713.46153846153834</v>
      </c>
    </row>
    <row r="75" spans="1:17" x14ac:dyDescent="0.25">
      <c r="A75" s="59">
        <f t="shared" si="26"/>
        <v>70</v>
      </c>
      <c r="B75" s="62">
        <f t="shared" si="27"/>
        <v>43.75</v>
      </c>
      <c r="C75" s="60">
        <f t="shared" si="28"/>
        <v>10</v>
      </c>
      <c r="D75" s="65">
        <f>B2</f>
        <v>3719.9999999999995</v>
      </c>
      <c r="E75" s="58">
        <f t="shared" ref="E75:E110" si="34">MIN(D75/(A75-B75),$C$2)</f>
        <v>141.71428571428569</v>
      </c>
      <c r="F75" s="60">
        <f t="shared" si="29"/>
        <v>54</v>
      </c>
      <c r="G75" s="58">
        <f t="shared" ref="G75:G114" si="35">IF($F$2="Soft Start", F75, E75)</f>
        <v>54</v>
      </c>
      <c r="H75" s="60">
        <f t="shared" si="30"/>
        <v>44</v>
      </c>
      <c r="I75" s="61">
        <f t="shared" ref="I75:I106" si="36">(COUTMAX/1000000)*(B75-B74)/H75</f>
        <v>3.3653846153845991E-3</v>
      </c>
      <c r="J75" s="61">
        <f t="shared" si="15"/>
        <v>0.21874999999999992</v>
      </c>
      <c r="K75" s="173">
        <f t="shared" ref="K75:K114" si="37">J75*1000</f>
        <v>218.74999999999991</v>
      </c>
      <c r="L75" s="136">
        <f t="shared" ref="L75:L110" si="38">H75/G75</f>
        <v>0.81481481481481477</v>
      </c>
      <c r="M75" s="59">
        <f t="shared" si="31"/>
        <v>0.27662337662337655</v>
      </c>
      <c r="N75" s="59">
        <f t="shared" ref="N75:N110" si="39">I75*G75*(A75-B75)</f>
        <v>4.7704326923076694</v>
      </c>
      <c r="O75" s="59">
        <f t="shared" ref="O75:O114" si="40">G75*(A75-B75)</f>
        <v>1417.5</v>
      </c>
      <c r="P75" s="59">
        <f t="shared" si="32"/>
        <v>2572.5</v>
      </c>
      <c r="Q75" s="59">
        <f t="shared" si="33"/>
        <v>695.625</v>
      </c>
    </row>
    <row r="76" spans="1:17" x14ac:dyDescent="0.25">
      <c r="A76" s="59">
        <f t="shared" si="26"/>
        <v>70</v>
      </c>
      <c r="B76" s="62">
        <f t="shared" si="27"/>
        <v>44.42307692307692</v>
      </c>
      <c r="C76" s="60">
        <f t="shared" si="28"/>
        <v>10</v>
      </c>
      <c r="D76" s="65">
        <f>B2</f>
        <v>3719.9999999999995</v>
      </c>
      <c r="E76" s="58">
        <f t="shared" si="34"/>
        <v>145.44360902255636</v>
      </c>
      <c r="F76" s="60">
        <f t="shared" si="29"/>
        <v>54</v>
      </c>
      <c r="G76" s="58">
        <f t="shared" si="35"/>
        <v>54</v>
      </c>
      <c r="H76" s="60">
        <f t="shared" si="30"/>
        <v>44</v>
      </c>
      <c r="I76" s="61">
        <f t="shared" si="36"/>
        <v>3.3653846153845991E-3</v>
      </c>
      <c r="J76" s="61">
        <f t="shared" ref="J76:J110" si="41">J75+I76</f>
        <v>0.22211538461538452</v>
      </c>
      <c r="K76" s="173">
        <f t="shared" si="37"/>
        <v>222.11538461538453</v>
      </c>
      <c r="L76" s="136">
        <f t="shared" si="38"/>
        <v>0.81481481481481477</v>
      </c>
      <c r="M76" s="59">
        <f t="shared" si="31"/>
        <v>0.28509911141490085</v>
      </c>
      <c r="N76" s="59">
        <f t="shared" si="39"/>
        <v>4.6481139053254221</v>
      </c>
      <c r="O76" s="59">
        <f t="shared" si="40"/>
        <v>1381.1538461538464</v>
      </c>
      <c r="P76" s="59">
        <f t="shared" si="32"/>
        <v>2506.5384615384619</v>
      </c>
      <c r="Q76" s="59">
        <f t="shared" si="33"/>
        <v>677.78846153846166</v>
      </c>
    </row>
    <row r="77" spans="1:17" x14ac:dyDescent="0.25">
      <c r="A77" s="59">
        <f t="shared" si="26"/>
        <v>70</v>
      </c>
      <c r="B77" s="62">
        <f t="shared" si="27"/>
        <v>45.096153846153847</v>
      </c>
      <c r="C77" s="60">
        <f t="shared" si="28"/>
        <v>10</v>
      </c>
      <c r="D77" s="65">
        <f>B2</f>
        <v>3719.9999999999995</v>
      </c>
      <c r="E77" s="58">
        <f t="shared" si="34"/>
        <v>149.37451737451735</v>
      </c>
      <c r="F77" s="60">
        <f t="shared" si="29"/>
        <v>54</v>
      </c>
      <c r="G77" s="58">
        <f t="shared" si="35"/>
        <v>54</v>
      </c>
      <c r="H77" s="60">
        <f t="shared" si="30"/>
        <v>44</v>
      </c>
      <c r="I77" s="61">
        <f t="shared" si="36"/>
        <v>3.3653846153846342E-3</v>
      </c>
      <c r="J77" s="61">
        <f t="shared" si="41"/>
        <v>0.22548076923076915</v>
      </c>
      <c r="K77" s="173">
        <f t="shared" si="37"/>
        <v>225.48076923076914</v>
      </c>
      <c r="L77" s="136">
        <f t="shared" si="38"/>
        <v>0.81481481481481477</v>
      </c>
      <c r="M77" s="59">
        <f t="shared" si="31"/>
        <v>0.29403299403299399</v>
      </c>
      <c r="N77" s="59">
        <f t="shared" si="39"/>
        <v>4.5257951183432201</v>
      </c>
      <c r="O77" s="59">
        <f t="shared" si="40"/>
        <v>1344.8076923076924</v>
      </c>
      <c r="P77" s="59">
        <f t="shared" si="32"/>
        <v>2440.5769230769229</v>
      </c>
      <c r="Q77" s="59">
        <f t="shared" si="33"/>
        <v>659.95192307692309</v>
      </c>
    </row>
    <row r="78" spans="1:17" x14ac:dyDescent="0.25">
      <c r="A78" s="59">
        <f t="shared" si="26"/>
        <v>70</v>
      </c>
      <c r="B78" s="62">
        <f t="shared" si="27"/>
        <v>45.769230769230766</v>
      </c>
      <c r="C78" s="60">
        <f t="shared" si="28"/>
        <v>10</v>
      </c>
      <c r="D78" s="65">
        <f>B2</f>
        <v>3719.9999999999995</v>
      </c>
      <c r="E78" s="58">
        <f t="shared" si="34"/>
        <v>153.52380952380949</v>
      </c>
      <c r="F78" s="60">
        <f t="shared" si="29"/>
        <v>54</v>
      </c>
      <c r="G78" s="58">
        <f t="shared" si="35"/>
        <v>54</v>
      </c>
      <c r="H78" s="60">
        <f t="shared" si="30"/>
        <v>44</v>
      </c>
      <c r="I78" s="61">
        <f t="shared" si="36"/>
        <v>3.3653846153845991E-3</v>
      </c>
      <c r="J78" s="61">
        <f t="shared" si="41"/>
        <v>0.22884615384615375</v>
      </c>
      <c r="K78" s="173">
        <f t="shared" si="37"/>
        <v>228.84615384615375</v>
      </c>
      <c r="L78" s="136">
        <f t="shared" si="38"/>
        <v>0.81481481481481477</v>
      </c>
      <c r="M78" s="59">
        <f t="shared" si="31"/>
        <v>0.30346320346320338</v>
      </c>
      <c r="N78" s="59">
        <f t="shared" si="39"/>
        <v>4.4034763313609266</v>
      </c>
      <c r="O78" s="59">
        <f t="shared" si="40"/>
        <v>1308.4615384615386</v>
      </c>
      <c r="P78" s="59">
        <f t="shared" si="32"/>
        <v>2374.6153846153848</v>
      </c>
      <c r="Q78" s="59">
        <f t="shared" si="33"/>
        <v>642.11538461538464</v>
      </c>
    </row>
    <row r="79" spans="1:17" x14ac:dyDescent="0.25">
      <c r="A79" s="59">
        <f t="shared" si="26"/>
        <v>70</v>
      </c>
      <c r="B79" s="62">
        <f t="shared" si="27"/>
        <v>46.442307692307693</v>
      </c>
      <c r="C79" s="60">
        <f t="shared" si="28"/>
        <v>10</v>
      </c>
      <c r="D79" s="65">
        <f>B2</f>
        <v>3719.9999999999995</v>
      </c>
      <c r="E79" s="58">
        <f t="shared" si="34"/>
        <v>157.91020408163263</v>
      </c>
      <c r="F79" s="60">
        <f t="shared" si="29"/>
        <v>54</v>
      </c>
      <c r="G79" s="58">
        <f t="shared" si="35"/>
        <v>54</v>
      </c>
      <c r="H79" s="60">
        <f t="shared" si="30"/>
        <v>44</v>
      </c>
      <c r="I79" s="61">
        <f t="shared" si="36"/>
        <v>3.3653846153846342E-3</v>
      </c>
      <c r="J79" s="61">
        <f t="shared" si="41"/>
        <v>0.23221153846153839</v>
      </c>
      <c r="K79" s="173">
        <f t="shared" si="37"/>
        <v>232.2115384615384</v>
      </c>
      <c r="L79" s="136">
        <f t="shared" si="38"/>
        <v>0.81481481481481477</v>
      </c>
      <c r="M79" s="59">
        <f t="shared" si="31"/>
        <v>0.31343228200371054</v>
      </c>
      <c r="N79" s="59">
        <f t="shared" si="39"/>
        <v>4.281157544378722</v>
      </c>
      <c r="O79" s="59">
        <f t="shared" si="40"/>
        <v>1272.1153846153845</v>
      </c>
      <c r="P79" s="59">
        <f t="shared" si="32"/>
        <v>2308.6538461538462</v>
      </c>
      <c r="Q79" s="59">
        <f t="shared" si="33"/>
        <v>624.27884615384608</v>
      </c>
    </row>
    <row r="80" spans="1:17" x14ac:dyDescent="0.25">
      <c r="A80" s="59">
        <f t="shared" si="26"/>
        <v>70</v>
      </c>
      <c r="B80" s="62">
        <f t="shared" si="27"/>
        <v>47.11538461538462</v>
      </c>
      <c r="C80" s="60">
        <f t="shared" si="28"/>
        <v>10</v>
      </c>
      <c r="D80" s="65">
        <f>B2</f>
        <v>3719.9999999999995</v>
      </c>
      <c r="E80" s="58">
        <f t="shared" si="34"/>
        <v>162.55462184873952</v>
      </c>
      <c r="F80" s="60">
        <f t="shared" si="29"/>
        <v>54</v>
      </c>
      <c r="G80" s="58">
        <f t="shared" si="35"/>
        <v>54</v>
      </c>
      <c r="H80" s="60">
        <f t="shared" si="30"/>
        <v>44</v>
      </c>
      <c r="I80" s="61">
        <f t="shared" si="36"/>
        <v>3.3653846153846342E-3</v>
      </c>
      <c r="J80" s="61">
        <f t="shared" si="41"/>
        <v>0.23557692307692302</v>
      </c>
      <c r="K80" s="173">
        <f t="shared" si="37"/>
        <v>235.57692307692301</v>
      </c>
      <c r="L80" s="136">
        <f t="shared" si="38"/>
        <v>0.81481481481481477</v>
      </c>
      <c r="M80" s="59">
        <f t="shared" si="31"/>
        <v>0.32398777692895342</v>
      </c>
      <c r="N80" s="59">
        <f t="shared" si="39"/>
        <v>4.158838757396472</v>
      </c>
      <c r="O80" s="59">
        <f t="shared" si="40"/>
        <v>1235.7692307692305</v>
      </c>
      <c r="P80" s="59">
        <f t="shared" si="32"/>
        <v>2242.6923076923072</v>
      </c>
      <c r="Q80" s="59">
        <f t="shared" si="33"/>
        <v>606.44230769230751</v>
      </c>
    </row>
    <row r="81" spans="1:17" x14ac:dyDescent="0.25">
      <c r="A81" s="59">
        <f t="shared" si="26"/>
        <v>70</v>
      </c>
      <c r="B81" s="62">
        <f t="shared" si="27"/>
        <v>47.78846153846154</v>
      </c>
      <c r="C81" s="60">
        <f t="shared" si="28"/>
        <v>10</v>
      </c>
      <c r="D81" s="65">
        <f>B2</f>
        <v>3719.9999999999995</v>
      </c>
      <c r="E81" s="58">
        <f t="shared" si="34"/>
        <v>167.48051948051946</v>
      </c>
      <c r="F81" s="60">
        <f t="shared" si="29"/>
        <v>54</v>
      </c>
      <c r="G81" s="58">
        <f t="shared" si="35"/>
        <v>54</v>
      </c>
      <c r="H81" s="60">
        <f t="shared" si="30"/>
        <v>44</v>
      </c>
      <c r="I81" s="61">
        <f t="shared" si="36"/>
        <v>3.3653846153845991E-3</v>
      </c>
      <c r="J81" s="61">
        <f t="shared" si="41"/>
        <v>0.23894230769230762</v>
      </c>
      <c r="K81" s="173">
        <f t="shared" si="37"/>
        <v>238.94230769230762</v>
      </c>
      <c r="L81" s="136">
        <f t="shared" si="38"/>
        <v>0.81481481481481477</v>
      </c>
      <c r="M81" s="59">
        <f t="shared" si="31"/>
        <v>0.33518299881936242</v>
      </c>
      <c r="N81" s="59">
        <f t="shared" si="39"/>
        <v>4.0365199704141812</v>
      </c>
      <c r="O81" s="59">
        <f t="shared" si="40"/>
        <v>1199.4230769230769</v>
      </c>
      <c r="P81" s="59">
        <f t="shared" si="32"/>
        <v>2176.7307692307691</v>
      </c>
      <c r="Q81" s="59">
        <f t="shared" si="33"/>
        <v>588.60576923076917</v>
      </c>
    </row>
    <row r="82" spans="1:17" x14ac:dyDescent="0.25">
      <c r="A82" s="59">
        <f t="shared" si="26"/>
        <v>70</v>
      </c>
      <c r="B82" s="62">
        <f t="shared" si="27"/>
        <v>48.46153846153846</v>
      </c>
      <c r="C82" s="60">
        <f t="shared" si="28"/>
        <v>10</v>
      </c>
      <c r="D82" s="65">
        <f>B2</f>
        <v>3719.9999999999995</v>
      </c>
      <c r="E82" s="58">
        <f t="shared" si="34"/>
        <v>172.71428571428569</v>
      </c>
      <c r="F82" s="60">
        <f t="shared" si="29"/>
        <v>54</v>
      </c>
      <c r="G82" s="58">
        <f t="shared" si="35"/>
        <v>54</v>
      </c>
      <c r="H82" s="60">
        <f t="shared" si="30"/>
        <v>44</v>
      </c>
      <c r="I82" s="61">
        <f t="shared" si="36"/>
        <v>3.3653846153845991E-3</v>
      </c>
      <c r="J82" s="61">
        <f t="shared" si="41"/>
        <v>0.24230769230769222</v>
      </c>
      <c r="K82" s="173">
        <f t="shared" si="37"/>
        <v>242.30769230769224</v>
      </c>
      <c r="L82" s="136">
        <f t="shared" si="38"/>
        <v>0.81481481481481477</v>
      </c>
      <c r="M82" s="59">
        <f t="shared" si="31"/>
        <v>0.34707792207792204</v>
      </c>
      <c r="N82" s="59">
        <f t="shared" si="39"/>
        <v>3.9142011834319343</v>
      </c>
      <c r="O82" s="59">
        <f t="shared" si="40"/>
        <v>1163.0769230769231</v>
      </c>
      <c r="P82" s="59">
        <f t="shared" si="32"/>
        <v>2110.7692307692309</v>
      </c>
      <c r="Q82" s="59">
        <f t="shared" si="33"/>
        <v>570.76923076923083</v>
      </c>
    </row>
    <row r="83" spans="1:17" x14ac:dyDescent="0.25">
      <c r="A83" s="59">
        <f t="shared" si="26"/>
        <v>70</v>
      </c>
      <c r="B83" s="62">
        <f t="shared" si="27"/>
        <v>49.13461538461538</v>
      </c>
      <c r="C83" s="60">
        <f t="shared" si="28"/>
        <v>10</v>
      </c>
      <c r="D83" s="65">
        <f>B2</f>
        <v>3719.9999999999995</v>
      </c>
      <c r="E83" s="58">
        <f t="shared" si="34"/>
        <v>178.28571428571422</v>
      </c>
      <c r="F83" s="60">
        <f t="shared" si="29"/>
        <v>54</v>
      </c>
      <c r="G83" s="58">
        <f t="shared" si="35"/>
        <v>54</v>
      </c>
      <c r="H83" s="60">
        <f t="shared" si="30"/>
        <v>44</v>
      </c>
      <c r="I83" s="61">
        <f t="shared" si="36"/>
        <v>3.3653846153845991E-3</v>
      </c>
      <c r="J83" s="61">
        <f t="shared" si="41"/>
        <v>0.24567307692307683</v>
      </c>
      <c r="K83" s="173">
        <f t="shared" si="37"/>
        <v>245.67307692307682</v>
      </c>
      <c r="L83" s="136">
        <f t="shared" si="38"/>
        <v>0.81481481481481477</v>
      </c>
      <c r="M83" s="59">
        <f t="shared" si="31"/>
        <v>0.35974025974025964</v>
      </c>
      <c r="N83" s="59">
        <f t="shared" si="39"/>
        <v>3.7918823964496871</v>
      </c>
      <c r="O83" s="59">
        <f t="shared" si="40"/>
        <v>1126.7307692307695</v>
      </c>
      <c r="P83" s="59">
        <f t="shared" si="32"/>
        <v>2044.8076923076928</v>
      </c>
      <c r="Q83" s="59">
        <f t="shared" si="33"/>
        <v>552.93269230769249</v>
      </c>
    </row>
    <row r="84" spans="1:17" x14ac:dyDescent="0.25">
      <c r="A84" s="59">
        <f t="shared" si="26"/>
        <v>70</v>
      </c>
      <c r="B84" s="62">
        <f t="shared" si="27"/>
        <v>49.807692307692307</v>
      </c>
      <c r="C84" s="60">
        <f t="shared" si="28"/>
        <v>10</v>
      </c>
      <c r="D84" s="65">
        <f>B2</f>
        <v>3719.9999999999995</v>
      </c>
      <c r="E84" s="58">
        <f t="shared" si="34"/>
        <v>184.2285714285714</v>
      </c>
      <c r="F84" s="60">
        <f t="shared" si="29"/>
        <v>54</v>
      </c>
      <c r="G84" s="58">
        <f t="shared" si="35"/>
        <v>54</v>
      </c>
      <c r="H84" s="60">
        <f t="shared" si="30"/>
        <v>44</v>
      </c>
      <c r="I84" s="61">
        <f t="shared" si="36"/>
        <v>3.3653846153846342E-3</v>
      </c>
      <c r="J84" s="61">
        <f t="shared" si="41"/>
        <v>0.24903846153846146</v>
      </c>
      <c r="K84" s="173">
        <f t="shared" si="37"/>
        <v>249.03846153846146</v>
      </c>
      <c r="L84" s="136">
        <f t="shared" si="38"/>
        <v>0.81481481481481477</v>
      </c>
      <c r="M84" s="59">
        <f t="shared" si="31"/>
        <v>0.37324675324675322</v>
      </c>
      <c r="N84" s="59">
        <f t="shared" si="39"/>
        <v>3.6695636094674766</v>
      </c>
      <c r="O84" s="59">
        <f t="shared" si="40"/>
        <v>1090.3846153846155</v>
      </c>
      <c r="P84" s="59">
        <f t="shared" si="32"/>
        <v>1978.846153846154</v>
      </c>
      <c r="Q84" s="59">
        <f t="shared" si="33"/>
        <v>535.09615384615392</v>
      </c>
    </row>
    <row r="85" spans="1:17" x14ac:dyDescent="0.25">
      <c r="A85" s="59">
        <f t="shared" si="26"/>
        <v>70</v>
      </c>
      <c r="B85" s="62">
        <f t="shared" si="27"/>
        <v>50.480769230769234</v>
      </c>
      <c r="C85" s="60">
        <f t="shared" si="28"/>
        <v>10</v>
      </c>
      <c r="D85" s="65">
        <f>B2</f>
        <v>3719.9999999999995</v>
      </c>
      <c r="E85" s="58">
        <f t="shared" si="34"/>
        <v>190.58128078817734</v>
      </c>
      <c r="F85" s="60">
        <f t="shared" si="29"/>
        <v>54</v>
      </c>
      <c r="G85" s="58">
        <f t="shared" si="35"/>
        <v>54</v>
      </c>
      <c r="H85" s="60">
        <f t="shared" si="30"/>
        <v>44</v>
      </c>
      <c r="I85" s="61">
        <f t="shared" si="36"/>
        <v>3.3653846153846342E-3</v>
      </c>
      <c r="J85" s="61">
        <f t="shared" si="41"/>
        <v>0.25240384615384609</v>
      </c>
      <c r="K85" s="173">
        <f t="shared" si="37"/>
        <v>252.4038461538461</v>
      </c>
      <c r="L85" s="136">
        <f t="shared" si="38"/>
        <v>0.81481481481481477</v>
      </c>
      <c r="M85" s="59">
        <f t="shared" si="31"/>
        <v>0.38768472906403939</v>
      </c>
      <c r="N85" s="59">
        <f t="shared" si="39"/>
        <v>3.5472448224852267</v>
      </c>
      <c r="O85" s="59">
        <f t="shared" si="40"/>
        <v>1054.0384615384614</v>
      </c>
      <c r="P85" s="59">
        <f t="shared" si="32"/>
        <v>1912.884615384615</v>
      </c>
      <c r="Q85" s="59">
        <f t="shared" si="33"/>
        <v>517.25961538461536</v>
      </c>
    </row>
    <row r="86" spans="1:17" x14ac:dyDescent="0.25">
      <c r="A86" s="59">
        <f t="shared" si="26"/>
        <v>70</v>
      </c>
      <c r="B86" s="62">
        <f t="shared" si="27"/>
        <v>51.153846153846153</v>
      </c>
      <c r="C86" s="60">
        <f t="shared" si="28"/>
        <v>10</v>
      </c>
      <c r="D86" s="65">
        <f>B2</f>
        <v>3719.9999999999995</v>
      </c>
      <c r="E86" s="58">
        <f t="shared" si="34"/>
        <v>197.38775510204079</v>
      </c>
      <c r="F86" s="60">
        <f t="shared" si="29"/>
        <v>54</v>
      </c>
      <c r="G86" s="58">
        <f t="shared" si="35"/>
        <v>54</v>
      </c>
      <c r="H86" s="60">
        <f t="shared" si="30"/>
        <v>44</v>
      </c>
      <c r="I86" s="61">
        <f t="shared" si="36"/>
        <v>3.3653846153845991E-3</v>
      </c>
      <c r="J86" s="61">
        <f t="shared" si="41"/>
        <v>0.25576923076923069</v>
      </c>
      <c r="K86" s="173">
        <f t="shared" si="37"/>
        <v>255.76923076923069</v>
      </c>
      <c r="L86" s="136">
        <f t="shared" si="38"/>
        <v>0.81481481481481477</v>
      </c>
      <c r="M86" s="59">
        <f t="shared" si="31"/>
        <v>0.40315398886827447</v>
      </c>
      <c r="N86" s="59">
        <f t="shared" si="39"/>
        <v>3.4249260355029425</v>
      </c>
      <c r="O86" s="59">
        <f t="shared" si="40"/>
        <v>1017.6923076923077</v>
      </c>
      <c r="P86" s="59">
        <f t="shared" si="32"/>
        <v>1846.9230769230769</v>
      </c>
      <c r="Q86" s="59">
        <f t="shared" si="33"/>
        <v>499.42307692307696</v>
      </c>
    </row>
    <row r="87" spans="1:17" x14ac:dyDescent="0.25">
      <c r="A87" s="59">
        <f t="shared" si="26"/>
        <v>70</v>
      </c>
      <c r="B87" s="62">
        <f t="shared" si="27"/>
        <v>51.82692307692308</v>
      </c>
      <c r="C87" s="60">
        <f t="shared" si="28"/>
        <v>10</v>
      </c>
      <c r="D87" s="65">
        <f>B2</f>
        <v>3719.9999999999995</v>
      </c>
      <c r="E87" s="58">
        <f t="shared" si="34"/>
        <v>204.69841269841271</v>
      </c>
      <c r="F87" s="60">
        <f t="shared" si="29"/>
        <v>54</v>
      </c>
      <c r="G87" s="58">
        <f t="shared" si="35"/>
        <v>54</v>
      </c>
      <c r="H87" s="60">
        <f t="shared" si="30"/>
        <v>44</v>
      </c>
      <c r="I87" s="61">
        <f t="shared" si="36"/>
        <v>3.3653846153846342E-3</v>
      </c>
      <c r="J87" s="61">
        <f t="shared" si="41"/>
        <v>0.25913461538461535</v>
      </c>
      <c r="K87" s="173">
        <f t="shared" si="37"/>
        <v>259.13461538461536</v>
      </c>
      <c r="L87" s="136">
        <f t="shared" si="38"/>
        <v>0.81481481481481477</v>
      </c>
      <c r="M87" s="59">
        <f t="shared" si="31"/>
        <v>0.41976911976911979</v>
      </c>
      <c r="N87" s="59">
        <f t="shared" si="39"/>
        <v>3.3026072485207281</v>
      </c>
      <c r="O87" s="59">
        <f t="shared" si="40"/>
        <v>981.3461538461537</v>
      </c>
      <c r="P87" s="59">
        <f t="shared" si="32"/>
        <v>1780.9615384615381</v>
      </c>
      <c r="Q87" s="59">
        <f t="shared" si="33"/>
        <v>481.5865384615384</v>
      </c>
    </row>
    <row r="88" spans="1:17" x14ac:dyDescent="0.25">
      <c r="A88" s="59">
        <f t="shared" si="26"/>
        <v>70</v>
      </c>
      <c r="B88" s="62">
        <f t="shared" si="27"/>
        <v>52.5</v>
      </c>
      <c r="C88" s="60">
        <f t="shared" si="28"/>
        <v>10</v>
      </c>
      <c r="D88" s="65">
        <f>B2</f>
        <v>3719.9999999999995</v>
      </c>
      <c r="E88" s="58">
        <f t="shared" si="34"/>
        <v>212.57142857142856</v>
      </c>
      <c r="F88" s="60">
        <f t="shared" si="29"/>
        <v>54</v>
      </c>
      <c r="G88" s="58">
        <f t="shared" si="35"/>
        <v>54</v>
      </c>
      <c r="H88" s="60">
        <f t="shared" si="30"/>
        <v>44</v>
      </c>
      <c r="I88" s="61">
        <f t="shared" si="36"/>
        <v>3.3653846153845991E-3</v>
      </c>
      <c r="J88" s="61">
        <f t="shared" si="41"/>
        <v>0.26249999999999996</v>
      </c>
      <c r="K88" s="173">
        <f t="shared" si="37"/>
        <v>262.49999999999994</v>
      </c>
      <c r="L88" s="136">
        <f t="shared" si="38"/>
        <v>0.81481481481481477</v>
      </c>
      <c r="M88" s="59">
        <f t="shared" si="31"/>
        <v>0.43766233766233759</v>
      </c>
      <c r="N88" s="59">
        <f t="shared" si="39"/>
        <v>3.1802884615384466</v>
      </c>
      <c r="O88" s="59">
        <f t="shared" si="40"/>
        <v>945</v>
      </c>
      <c r="P88" s="59">
        <f t="shared" si="32"/>
        <v>1715</v>
      </c>
      <c r="Q88" s="59">
        <f t="shared" si="33"/>
        <v>463.75</v>
      </c>
    </row>
    <row r="89" spans="1:17" x14ac:dyDescent="0.25">
      <c r="A89" s="59">
        <f t="shared" si="26"/>
        <v>70</v>
      </c>
      <c r="B89" s="62">
        <f t="shared" si="27"/>
        <v>53.17307692307692</v>
      </c>
      <c r="C89" s="60">
        <f t="shared" si="28"/>
        <v>10</v>
      </c>
      <c r="D89" s="65">
        <f>B2</f>
        <v>3719.9999999999995</v>
      </c>
      <c r="E89" s="58">
        <f t="shared" si="34"/>
        <v>221.07428571428565</v>
      </c>
      <c r="F89" s="60">
        <f t="shared" si="29"/>
        <v>54</v>
      </c>
      <c r="G89" s="58">
        <f t="shared" si="35"/>
        <v>54</v>
      </c>
      <c r="H89" s="60">
        <f t="shared" si="30"/>
        <v>44</v>
      </c>
      <c r="I89" s="61">
        <f t="shared" si="36"/>
        <v>3.3653846153845991E-3</v>
      </c>
      <c r="J89" s="61">
        <f t="shared" si="41"/>
        <v>0.26586538461538456</v>
      </c>
      <c r="K89" s="173">
        <f t="shared" si="37"/>
        <v>265.86538461538458</v>
      </c>
      <c r="L89" s="136">
        <f t="shared" si="38"/>
        <v>0.81481481481481477</v>
      </c>
      <c r="M89" s="59">
        <f t="shared" si="31"/>
        <v>0.45698701298701283</v>
      </c>
      <c r="N89" s="59">
        <f t="shared" si="39"/>
        <v>3.0579696745561988</v>
      </c>
      <c r="O89" s="59">
        <f t="shared" si="40"/>
        <v>908.6538461538463</v>
      </c>
      <c r="P89" s="59">
        <f t="shared" si="32"/>
        <v>1649.0384615384619</v>
      </c>
      <c r="Q89" s="59">
        <f t="shared" si="33"/>
        <v>445.9134615384616</v>
      </c>
    </row>
    <row r="90" spans="1:17" x14ac:dyDescent="0.25">
      <c r="A90" s="59">
        <f t="shared" si="26"/>
        <v>70</v>
      </c>
      <c r="B90" s="62">
        <f t="shared" si="27"/>
        <v>53.846153846153847</v>
      </c>
      <c r="C90" s="60">
        <f t="shared" si="28"/>
        <v>10</v>
      </c>
      <c r="D90" s="65">
        <f>B2</f>
        <v>3719.9999999999995</v>
      </c>
      <c r="E90" s="58">
        <f t="shared" si="34"/>
        <v>230.28571428571428</v>
      </c>
      <c r="F90" s="60">
        <f t="shared" si="29"/>
        <v>54</v>
      </c>
      <c r="G90" s="58">
        <f t="shared" si="35"/>
        <v>54</v>
      </c>
      <c r="H90" s="60">
        <f t="shared" si="30"/>
        <v>44</v>
      </c>
      <c r="I90" s="61">
        <f t="shared" si="36"/>
        <v>3.3653846153846342E-3</v>
      </c>
      <c r="J90" s="61">
        <f t="shared" si="41"/>
        <v>0.26923076923076922</v>
      </c>
      <c r="K90" s="173">
        <f t="shared" si="37"/>
        <v>269.23076923076923</v>
      </c>
      <c r="L90" s="136">
        <f t="shared" si="38"/>
        <v>0.81481481481481477</v>
      </c>
      <c r="M90" s="59">
        <f t="shared" si="31"/>
        <v>0.47792207792207791</v>
      </c>
      <c r="N90" s="59">
        <f t="shared" si="39"/>
        <v>2.9356508875739808</v>
      </c>
      <c r="O90" s="59">
        <f t="shared" si="40"/>
        <v>872.30769230769226</v>
      </c>
      <c r="P90" s="59">
        <f t="shared" si="32"/>
        <v>1583.0769230769231</v>
      </c>
      <c r="Q90" s="59">
        <f t="shared" si="33"/>
        <v>428.07692307692304</v>
      </c>
    </row>
    <row r="91" spans="1:17" x14ac:dyDescent="0.25">
      <c r="A91" s="59">
        <f t="shared" si="26"/>
        <v>70</v>
      </c>
      <c r="B91" s="62">
        <f t="shared" si="27"/>
        <v>54.519230769230766</v>
      </c>
      <c r="C91" s="60">
        <f t="shared" si="28"/>
        <v>10</v>
      </c>
      <c r="D91" s="65">
        <f>B2</f>
        <v>3719.9999999999995</v>
      </c>
      <c r="E91" s="58">
        <f t="shared" si="34"/>
        <v>240.29813664596267</v>
      </c>
      <c r="F91" s="60">
        <f t="shared" si="29"/>
        <v>54</v>
      </c>
      <c r="G91" s="58">
        <f t="shared" si="35"/>
        <v>54</v>
      </c>
      <c r="H91" s="60">
        <f t="shared" si="30"/>
        <v>44</v>
      </c>
      <c r="I91" s="61">
        <f t="shared" si="36"/>
        <v>3.3653846153845991E-3</v>
      </c>
      <c r="J91" s="61">
        <f t="shared" si="41"/>
        <v>0.27259615384615382</v>
      </c>
      <c r="K91" s="173">
        <f t="shared" si="37"/>
        <v>272.59615384615381</v>
      </c>
      <c r="L91" s="136">
        <f t="shared" si="38"/>
        <v>0.81481481481481477</v>
      </c>
      <c r="M91" s="59">
        <f t="shared" si="31"/>
        <v>0.50067758328627876</v>
      </c>
      <c r="N91" s="59">
        <f t="shared" si="39"/>
        <v>2.8133321005917029</v>
      </c>
      <c r="O91" s="59">
        <f t="shared" si="40"/>
        <v>835.96153846153857</v>
      </c>
      <c r="P91" s="59">
        <f t="shared" si="32"/>
        <v>1517.115384615385</v>
      </c>
      <c r="Q91" s="59">
        <f t="shared" si="33"/>
        <v>410.2403846153847</v>
      </c>
    </row>
    <row r="92" spans="1:17" x14ac:dyDescent="0.25">
      <c r="A92" s="59">
        <f t="shared" si="26"/>
        <v>70</v>
      </c>
      <c r="B92" s="62">
        <f t="shared" si="27"/>
        <v>55.192307692307693</v>
      </c>
      <c r="C92" s="60">
        <f t="shared" si="28"/>
        <v>10</v>
      </c>
      <c r="D92" s="65">
        <f>B2</f>
        <v>3719.9999999999995</v>
      </c>
      <c r="E92" s="58">
        <f t="shared" si="34"/>
        <v>251.22077922077921</v>
      </c>
      <c r="F92" s="60">
        <f t="shared" si="29"/>
        <v>54</v>
      </c>
      <c r="G92" s="58">
        <f t="shared" si="35"/>
        <v>54</v>
      </c>
      <c r="H92" s="60">
        <f t="shared" si="30"/>
        <v>44</v>
      </c>
      <c r="I92" s="61">
        <f t="shared" si="36"/>
        <v>3.3653846153846342E-3</v>
      </c>
      <c r="J92" s="61">
        <f t="shared" si="41"/>
        <v>0.27596153846153848</v>
      </c>
      <c r="K92" s="173">
        <f t="shared" si="37"/>
        <v>275.96153846153845</v>
      </c>
      <c r="L92" s="136">
        <f t="shared" si="38"/>
        <v>0.81481481481481477</v>
      </c>
      <c r="M92" s="59">
        <f t="shared" si="31"/>
        <v>0.52550177095631645</v>
      </c>
      <c r="N92" s="59">
        <f t="shared" si="39"/>
        <v>2.6910133136094823</v>
      </c>
      <c r="O92" s="59">
        <f t="shared" si="40"/>
        <v>799.61538461538453</v>
      </c>
      <c r="P92" s="59">
        <f t="shared" si="32"/>
        <v>1451.153846153846</v>
      </c>
      <c r="Q92" s="59">
        <f t="shared" si="33"/>
        <v>392.40384615384613</v>
      </c>
    </row>
    <row r="93" spans="1:17" x14ac:dyDescent="0.25">
      <c r="A93" s="59">
        <f t="shared" si="26"/>
        <v>70</v>
      </c>
      <c r="B93" s="62">
        <f t="shared" si="27"/>
        <v>55.86538461538462</v>
      </c>
      <c r="C93" s="60">
        <f t="shared" si="28"/>
        <v>10</v>
      </c>
      <c r="D93" s="65">
        <f>B2</f>
        <v>3719.9999999999995</v>
      </c>
      <c r="E93" s="58">
        <f t="shared" si="34"/>
        <v>260</v>
      </c>
      <c r="F93" s="60">
        <f t="shared" si="29"/>
        <v>54</v>
      </c>
      <c r="G93" s="58">
        <f t="shared" si="35"/>
        <v>54</v>
      </c>
      <c r="H93" s="60">
        <f t="shared" si="30"/>
        <v>44</v>
      </c>
      <c r="I93" s="61">
        <f t="shared" si="36"/>
        <v>3.3653846153846342E-3</v>
      </c>
      <c r="J93" s="61">
        <f t="shared" si="41"/>
        <v>0.27932692307692314</v>
      </c>
      <c r="K93" s="173">
        <f t="shared" si="37"/>
        <v>279.32692307692315</v>
      </c>
      <c r="L93" s="136">
        <f t="shared" si="38"/>
        <v>0.81481481481481477</v>
      </c>
      <c r="M93" s="59">
        <f t="shared" si="31"/>
        <v>0.54545454545454553</v>
      </c>
      <c r="N93" s="59">
        <f t="shared" si="39"/>
        <v>2.5686945266272323</v>
      </c>
      <c r="O93" s="59">
        <f t="shared" si="40"/>
        <v>763.26923076923049</v>
      </c>
      <c r="P93" s="59">
        <f t="shared" si="32"/>
        <v>1385.1923076923072</v>
      </c>
      <c r="Q93" s="59">
        <f t="shared" si="33"/>
        <v>374.56730769230757</v>
      </c>
    </row>
    <row r="94" spans="1:17" x14ac:dyDescent="0.25">
      <c r="A94" s="59">
        <f t="shared" si="26"/>
        <v>70</v>
      </c>
      <c r="B94" s="62">
        <f t="shared" si="27"/>
        <v>56.53846153846154</v>
      </c>
      <c r="C94" s="60">
        <f t="shared" si="28"/>
        <v>10</v>
      </c>
      <c r="D94" s="65">
        <f>B2</f>
        <v>3719.9999999999995</v>
      </c>
      <c r="E94" s="58">
        <f t="shared" si="34"/>
        <v>260</v>
      </c>
      <c r="F94" s="60">
        <f t="shared" si="29"/>
        <v>54</v>
      </c>
      <c r="G94" s="58">
        <f t="shared" si="35"/>
        <v>54</v>
      </c>
      <c r="H94" s="60">
        <f t="shared" si="30"/>
        <v>44</v>
      </c>
      <c r="I94" s="61">
        <f t="shared" si="36"/>
        <v>3.3653846153845991E-3</v>
      </c>
      <c r="J94" s="61">
        <f t="shared" si="41"/>
        <v>0.28269230769230774</v>
      </c>
      <c r="K94" s="173">
        <f t="shared" si="37"/>
        <v>282.69230769230774</v>
      </c>
      <c r="L94" s="136">
        <f t="shared" si="38"/>
        <v>0.81481481481481477</v>
      </c>
      <c r="M94" s="59">
        <f t="shared" si="31"/>
        <v>0.54545454545454553</v>
      </c>
      <c r="N94" s="59">
        <f t="shared" si="39"/>
        <v>2.4463757396449584</v>
      </c>
      <c r="O94" s="59">
        <f t="shared" si="40"/>
        <v>726.92307692307679</v>
      </c>
      <c r="P94" s="59">
        <f t="shared" si="32"/>
        <v>1319.2307692307691</v>
      </c>
      <c r="Q94" s="59">
        <f t="shared" si="33"/>
        <v>356.73076923076917</v>
      </c>
    </row>
    <row r="95" spans="1:17" x14ac:dyDescent="0.25">
      <c r="A95" s="59">
        <f t="shared" si="26"/>
        <v>70</v>
      </c>
      <c r="B95" s="62">
        <f t="shared" si="27"/>
        <v>57.21153846153846</v>
      </c>
      <c r="C95" s="60">
        <f t="shared" si="28"/>
        <v>10</v>
      </c>
      <c r="D95" s="65">
        <f>B2</f>
        <v>3719.9999999999995</v>
      </c>
      <c r="E95" s="58">
        <f t="shared" si="34"/>
        <v>260</v>
      </c>
      <c r="F95" s="60">
        <f t="shared" si="29"/>
        <v>54</v>
      </c>
      <c r="G95" s="58">
        <f t="shared" si="35"/>
        <v>54</v>
      </c>
      <c r="H95" s="60">
        <f t="shared" si="30"/>
        <v>44</v>
      </c>
      <c r="I95" s="61">
        <f t="shared" si="36"/>
        <v>3.3653846153845991E-3</v>
      </c>
      <c r="J95" s="61">
        <f t="shared" si="41"/>
        <v>0.28605769230769235</v>
      </c>
      <c r="K95" s="173">
        <f t="shared" si="37"/>
        <v>286.05769230769232</v>
      </c>
      <c r="L95" s="136">
        <f t="shared" si="38"/>
        <v>0.81481481481481477</v>
      </c>
      <c r="M95" s="59">
        <f t="shared" si="31"/>
        <v>0.54545454545454553</v>
      </c>
      <c r="N95" s="59">
        <f t="shared" si="39"/>
        <v>2.3240569526627111</v>
      </c>
      <c r="O95" s="59">
        <f t="shared" si="40"/>
        <v>690.57692307692321</v>
      </c>
      <c r="P95" s="59">
        <f t="shared" si="32"/>
        <v>1253.2692307692309</v>
      </c>
      <c r="Q95" s="59">
        <f t="shared" si="33"/>
        <v>338.89423076923083</v>
      </c>
    </row>
    <row r="96" spans="1:17" x14ac:dyDescent="0.25">
      <c r="A96" s="59">
        <f t="shared" si="26"/>
        <v>70</v>
      </c>
      <c r="B96" s="62">
        <f t="shared" si="27"/>
        <v>57.88461538461538</v>
      </c>
      <c r="C96" s="60">
        <f t="shared" si="28"/>
        <v>10</v>
      </c>
      <c r="D96" s="65">
        <f>B2</f>
        <v>3719.9999999999995</v>
      </c>
      <c r="E96" s="58">
        <f t="shared" si="34"/>
        <v>260</v>
      </c>
      <c r="F96" s="60">
        <f t="shared" si="29"/>
        <v>54</v>
      </c>
      <c r="G96" s="58">
        <f t="shared" si="35"/>
        <v>54</v>
      </c>
      <c r="H96" s="60">
        <f t="shared" si="30"/>
        <v>44</v>
      </c>
      <c r="I96" s="61">
        <f t="shared" si="36"/>
        <v>3.3653846153845991E-3</v>
      </c>
      <c r="J96" s="61">
        <f t="shared" si="41"/>
        <v>0.28942307692307695</v>
      </c>
      <c r="K96" s="173">
        <f t="shared" si="37"/>
        <v>289.42307692307696</v>
      </c>
      <c r="L96" s="136">
        <f t="shared" si="38"/>
        <v>0.81481481481481477</v>
      </c>
      <c r="M96" s="59">
        <f t="shared" si="31"/>
        <v>0.54545454545454553</v>
      </c>
      <c r="N96" s="59">
        <f t="shared" si="39"/>
        <v>2.2017381656804638</v>
      </c>
      <c r="O96" s="59">
        <f t="shared" si="40"/>
        <v>654.23076923076951</v>
      </c>
      <c r="P96" s="59">
        <f t="shared" si="32"/>
        <v>1187.3076923076928</v>
      </c>
      <c r="Q96" s="59">
        <f t="shared" si="33"/>
        <v>321.05769230769243</v>
      </c>
    </row>
    <row r="97" spans="1:17" x14ac:dyDescent="0.25">
      <c r="A97" s="59">
        <f t="shared" si="26"/>
        <v>70</v>
      </c>
      <c r="B97" s="62">
        <f t="shared" si="27"/>
        <v>58.557692307692307</v>
      </c>
      <c r="C97" s="60">
        <f t="shared" si="28"/>
        <v>10</v>
      </c>
      <c r="D97" s="65">
        <f>B2</f>
        <v>3719.9999999999995</v>
      </c>
      <c r="E97" s="58">
        <f t="shared" si="34"/>
        <v>260</v>
      </c>
      <c r="F97" s="60">
        <f t="shared" si="29"/>
        <v>54</v>
      </c>
      <c r="G97" s="58">
        <f t="shared" si="35"/>
        <v>54</v>
      </c>
      <c r="H97" s="60">
        <f t="shared" si="30"/>
        <v>44</v>
      </c>
      <c r="I97" s="61">
        <f t="shared" si="36"/>
        <v>3.3653846153846342E-3</v>
      </c>
      <c r="J97" s="61">
        <f t="shared" si="41"/>
        <v>0.29278846153846161</v>
      </c>
      <c r="K97" s="173">
        <f t="shared" si="37"/>
        <v>292.7884615384616</v>
      </c>
      <c r="L97" s="136">
        <f t="shared" si="38"/>
        <v>0.81481481481481477</v>
      </c>
      <c r="M97" s="59">
        <f t="shared" si="31"/>
        <v>0.54545454545454553</v>
      </c>
      <c r="N97" s="59">
        <f t="shared" si="39"/>
        <v>2.0794193786982369</v>
      </c>
      <c r="O97" s="59">
        <f t="shared" si="40"/>
        <v>617.88461538461547</v>
      </c>
      <c r="P97" s="59">
        <f t="shared" si="32"/>
        <v>1121.346153846154</v>
      </c>
      <c r="Q97" s="59">
        <f t="shared" si="33"/>
        <v>303.22115384615387</v>
      </c>
    </row>
    <row r="98" spans="1:17" x14ac:dyDescent="0.25">
      <c r="A98" s="59">
        <f t="shared" si="26"/>
        <v>70</v>
      </c>
      <c r="B98" s="62">
        <f t="shared" si="27"/>
        <v>59.230769230769234</v>
      </c>
      <c r="C98" s="60">
        <f t="shared" si="28"/>
        <v>10</v>
      </c>
      <c r="D98" s="65">
        <f>B2</f>
        <v>3719.9999999999995</v>
      </c>
      <c r="E98" s="58">
        <f t="shared" si="34"/>
        <v>260</v>
      </c>
      <c r="F98" s="60">
        <f t="shared" si="29"/>
        <v>54</v>
      </c>
      <c r="G98" s="58">
        <f t="shared" si="35"/>
        <v>54</v>
      </c>
      <c r="H98" s="60">
        <f t="shared" si="30"/>
        <v>44</v>
      </c>
      <c r="I98" s="61">
        <f t="shared" si="36"/>
        <v>3.3653846153846342E-3</v>
      </c>
      <c r="J98" s="61">
        <f t="shared" si="41"/>
        <v>0.29615384615384627</v>
      </c>
      <c r="K98" s="173">
        <f t="shared" si="37"/>
        <v>296.15384615384625</v>
      </c>
      <c r="L98" s="136">
        <f t="shared" si="38"/>
        <v>0.81481481481481477</v>
      </c>
      <c r="M98" s="59">
        <f t="shared" si="31"/>
        <v>0.54545454545454553</v>
      </c>
      <c r="N98" s="59">
        <f t="shared" si="39"/>
        <v>1.9571005917159867</v>
      </c>
      <c r="O98" s="59">
        <f t="shared" si="40"/>
        <v>581.53846153846143</v>
      </c>
      <c r="P98" s="59">
        <f t="shared" si="32"/>
        <v>1055.384615384615</v>
      </c>
      <c r="Q98" s="59">
        <f t="shared" si="33"/>
        <v>285.3846153846153</v>
      </c>
    </row>
    <row r="99" spans="1:17" x14ac:dyDescent="0.25">
      <c r="A99" s="59">
        <f t="shared" si="26"/>
        <v>70</v>
      </c>
      <c r="B99" s="62">
        <f t="shared" si="27"/>
        <v>59.903846153846153</v>
      </c>
      <c r="C99" s="60">
        <f t="shared" si="28"/>
        <v>10</v>
      </c>
      <c r="D99" s="65">
        <f>B2</f>
        <v>3719.9999999999995</v>
      </c>
      <c r="E99" s="58">
        <f t="shared" si="34"/>
        <v>260</v>
      </c>
      <c r="F99" s="60">
        <f t="shared" si="29"/>
        <v>54</v>
      </c>
      <c r="G99" s="58">
        <f t="shared" si="35"/>
        <v>54</v>
      </c>
      <c r="H99" s="60">
        <f t="shared" si="30"/>
        <v>44</v>
      </c>
      <c r="I99" s="61">
        <f t="shared" si="36"/>
        <v>3.3653846153845991E-3</v>
      </c>
      <c r="J99" s="61">
        <f t="shared" si="41"/>
        <v>0.29951923076923087</v>
      </c>
      <c r="K99" s="173">
        <f t="shared" si="37"/>
        <v>299.51923076923089</v>
      </c>
      <c r="L99" s="136">
        <f t="shared" si="38"/>
        <v>0.81481481481481477</v>
      </c>
      <c r="M99" s="59">
        <f t="shared" si="31"/>
        <v>0.54545454545454553</v>
      </c>
      <c r="N99" s="59">
        <f t="shared" si="39"/>
        <v>1.8347818047337192</v>
      </c>
      <c r="O99" s="59">
        <f t="shared" si="40"/>
        <v>545.19230769230774</v>
      </c>
      <c r="P99" s="59">
        <f t="shared" si="32"/>
        <v>989.42307692307702</v>
      </c>
      <c r="Q99" s="59">
        <f t="shared" si="33"/>
        <v>267.54807692307696</v>
      </c>
    </row>
    <row r="100" spans="1:17" x14ac:dyDescent="0.25">
      <c r="A100" s="59">
        <f t="shared" si="26"/>
        <v>70</v>
      </c>
      <c r="B100" s="62">
        <f t="shared" si="27"/>
        <v>60.57692307692308</v>
      </c>
      <c r="C100" s="60">
        <f t="shared" si="28"/>
        <v>10</v>
      </c>
      <c r="D100" s="65">
        <f>B2</f>
        <v>3719.9999999999995</v>
      </c>
      <c r="E100" s="58">
        <f t="shared" si="34"/>
        <v>260</v>
      </c>
      <c r="F100" s="60">
        <f t="shared" si="29"/>
        <v>54</v>
      </c>
      <c r="G100" s="58">
        <f t="shared" si="35"/>
        <v>54</v>
      </c>
      <c r="H100" s="60">
        <f t="shared" si="30"/>
        <v>44</v>
      </c>
      <c r="I100" s="61">
        <f t="shared" si="36"/>
        <v>3.3653846153846342E-3</v>
      </c>
      <c r="J100" s="61">
        <f t="shared" si="41"/>
        <v>0.30288461538461553</v>
      </c>
      <c r="K100" s="173">
        <f t="shared" si="37"/>
        <v>302.88461538461553</v>
      </c>
      <c r="L100" s="136">
        <f t="shared" si="38"/>
        <v>0.81481481481481477</v>
      </c>
      <c r="M100" s="59">
        <f t="shared" si="31"/>
        <v>0.54545454545454553</v>
      </c>
      <c r="N100" s="59">
        <f t="shared" si="39"/>
        <v>1.7124630177514883</v>
      </c>
      <c r="O100" s="59">
        <f t="shared" si="40"/>
        <v>508.8461538461537</v>
      </c>
      <c r="P100" s="59">
        <f t="shared" si="32"/>
        <v>923.46153846153811</v>
      </c>
      <c r="Q100" s="59">
        <f t="shared" si="33"/>
        <v>249.71153846153837</v>
      </c>
    </row>
    <row r="101" spans="1:17" x14ac:dyDescent="0.25">
      <c r="A101" s="59">
        <f t="shared" si="26"/>
        <v>70</v>
      </c>
      <c r="B101" s="62">
        <f t="shared" si="27"/>
        <v>61.25</v>
      </c>
      <c r="C101" s="60">
        <f t="shared" si="28"/>
        <v>10</v>
      </c>
      <c r="D101" s="65">
        <f>B2</f>
        <v>3719.9999999999995</v>
      </c>
      <c r="E101" s="58">
        <f t="shared" si="34"/>
        <v>260</v>
      </c>
      <c r="F101" s="60">
        <f t="shared" si="29"/>
        <v>54</v>
      </c>
      <c r="G101" s="58">
        <f t="shared" si="35"/>
        <v>54</v>
      </c>
      <c r="H101" s="60">
        <f t="shared" si="30"/>
        <v>44</v>
      </c>
      <c r="I101" s="61">
        <f t="shared" si="36"/>
        <v>3.3653846153845991E-3</v>
      </c>
      <c r="J101" s="61">
        <f t="shared" si="41"/>
        <v>0.30625000000000013</v>
      </c>
      <c r="K101" s="173">
        <f t="shared" si="37"/>
        <v>306.25000000000011</v>
      </c>
      <c r="L101" s="136">
        <f t="shared" si="38"/>
        <v>0.81481481481481477</v>
      </c>
      <c r="M101" s="59">
        <f t="shared" si="31"/>
        <v>0.54545454545454553</v>
      </c>
      <c r="N101" s="59">
        <f t="shared" si="39"/>
        <v>1.5901442307692233</v>
      </c>
      <c r="O101" s="59">
        <f t="shared" si="40"/>
        <v>472.5</v>
      </c>
      <c r="P101" s="59">
        <f t="shared" si="32"/>
        <v>857.5</v>
      </c>
      <c r="Q101" s="59">
        <f t="shared" si="33"/>
        <v>231.875</v>
      </c>
    </row>
    <row r="102" spans="1:17" x14ac:dyDescent="0.25">
      <c r="A102" s="59">
        <f t="shared" si="26"/>
        <v>70</v>
      </c>
      <c r="B102" s="62">
        <f t="shared" si="27"/>
        <v>61.92307692307692</v>
      </c>
      <c r="C102" s="60">
        <f t="shared" si="28"/>
        <v>10</v>
      </c>
      <c r="D102" s="65">
        <f>B2</f>
        <v>3719.9999999999995</v>
      </c>
      <c r="E102" s="58">
        <f t="shared" si="34"/>
        <v>260</v>
      </c>
      <c r="F102" s="60">
        <f t="shared" si="29"/>
        <v>54</v>
      </c>
      <c r="G102" s="58">
        <f t="shared" si="35"/>
        <v>54</v>
      </c>
      <c r="H102" s="60">
        <f t="shared" si="30"/>
        <v>44</v>
      </c>
      <c r="I102" s="61">
        <f t="shared" si="36"/>
        <v>3.3653846153845991E-3</v>
      </c>
      <c r="J102" s="61">
        <f t="shared" si="41"/>
        <v>0.30961538461538474</v>
      </c>
      <c r="K102" s="173">
        <f t="shared" si="37"/>
        <v>309.61538461538476</v>
      </c>
      <c r="L102" s="136">
        <f t="shared" si="38"/>
        <v>0.81481481481481477</v>
      </c>
      <c r="M102" s="59">
        <f t="shared" si="31"/>
        <v>0.54545454545454553</v>
      </c>
      <c r="N102" s="59">
        <f t="shared" si="39"/>
        <v>1.4678254437869758</v>
      </c>
      <c r="O102" s="59">
        <f t="shared" si="40"/>
        <v>436.1538461538463</v>
      </c>
      <c r="P102" s="59">
        <f t="shared" si="32"/>
        <v>791.53846153846189</v>
      </c>
      <c r="Q102" s="59">
        <f t="shared" si="33"/>
        <v>214.03846153846163</v>
      </c>
    </row>
    <row r="103" spans="1:17" x14ac:dyDescent="0.25">
      <c r="A103" s="59">
        <f t="shared" si="26"/>
        <v>70</v>
      </c>
      <c r="B103" s="62">
        <f t="shared" si="27"/>
        <v>62.596153846153847</v>
      </c>
      <c r="C103" s="60">
        <f t="shared" si="28"/>
        <v>10</v>
      </c>
      <c r="D103" s="65">
        <f>B2</f>
        <v>3719.9999999999995</v>
      </c>
      <c r="E103" s="58">
        <f t="shared" si="34"/>
        <v>260</v>
      </c>
      <c r="F103" s="60">
        <f t="shared" si="29"/>
        <v>54</v>
      </c>
      <c r="G103" s="58">
        <f t="shared" si="35"/>
        <v>54</v>
      </c>
      <c r="H103" s="60">
        <f t="shared" si="30"/>
        <v>44</v>
      </c>
      <c r="I103" s="61">
        <f t="shared" si="36"/>
        <v>3.3653846153846342E-3</v>
      </c>
      <c r="J103" s="61">
        <f t="shared" si="41"/>
        <v>0.3129807692307694</v>
      </c>
      <c r="K103" s="173">
        <f t="shared" si="37"/>
        <v>312.9807692307694</v>
      </c>
      <c r="L103" s="136">
        <f t="shared" si="38"/>
        <v>0.81481481481481477</v>
      </c>
      <c r="M103" s="59">
        <f t="shared" si="31"/>
        <v>0.54545454545454553</v>
      </c>
      <c r="N103" s="59">
        <f t="shared" si="39"/>
        <v>1.3455066568047411</v>
      </c>
      <c r="O103" s="59">
        <f t="shared" si="40"/>
        <v>399.80769230769226</v>
      </c>
      <c r="P103" s="59">
        <f t="shared" si="32"/>
        <v>725.57692307692298</v>
      </c>
      <c r="Q103" s="59">
        <f t="shared" si="33"/>
        <v>196.20192307692307</v>
      </c>
    </row>
    <row r="104" spans="1:17" x14ac:dyDescent="0.25">
      <c r="A104" s="59">
        <f t="shared" si="26"/>
        <v>70</v>
      </c>
      <c r="B104" s="62">
        <f t="shared" si="27"/>
        <v>63.269230769230766</v>
      </c>
      <c r="C104" s="60">
        <f t="shared" si="28"/>
        <v>10</v>
      </c>
      <c r="D104" s="65">
        <f>B2</f>
        <v>3719.9999999999995</v>
      </c>
      <c r="E104" s="58">
        <f t="shared" si="34"/>
        <v>260</v>
      </c>
      <c r="F104" s="60">
        <f t="shared" si="29"/>
        <v>54</v>
      </c>
      <c r="G104" s="58">
        <f t="shared" si="35"/>
        <v>54</v>
      </c>
      <c r="H104" s="60">
        <f t="shared" si="30"/>
        <v>44</v>
      </c>
      <c r="I104" s="61">
        <f t="shared" si="36"/>
        <v>3.3653846153845991E-3</v>
      </c>
      <c r="J104" s="61">
        <f t="shared" si="41"/>
        <v>0.316346153846154</v>
      </c>
      <c r="K104" s="173">
        <f t="shared" si="37"/>
        <v>316.34615384615398</v>
      </c>
      <c r="L104" s="136">
        <f t="shared" si="38"/>
        <v>0.81481481481481477</v>
      </c>
      <c r="M104" s="59">
        <f t="shared" si="31"/>
        <v>0.54545454545454553</v>
      </c>
      <c r="N104" s="59">
        <f t="shared" si="39"/>
        <v>1.2231878698224798</v>
      </c>
      <c r="O104" s="59">
        <f t="shared" si="40"/>
        <v>363.46153846153862</v>
      </c>
      <c r="P104" s="59">
        <f t="shared" si="32"/>
        <v>659.61538461538487</v>
      </c>
      <c r="Q104" s="59">
        <f t="shared" si="33"/>
        <v>178.3653846153847</v>
      </c>
    </row>
    <row r="105" spans="1:17" x14ac:dyDescent="0.25">
      <c r="A105" s="59">
        <f t="shared" si="26"/>
        <v>70</v>
      </c>
      <c r="B105" s="62">
        <f t="shared" si="27"/>
        <v>63.942307692307693</v>
      </c>
      <c r="C105" s="60">
        <f t="shared" si="28"/>
        <v>10</v>
      </c>
      <c r="D105" s="65">
        <f>B2</f>
        <v>3719.9999999999995</v>
      </c>
      <c r="E105" s="58">
        <f t="shared" si="34"/>
        <v>260</v>
      </c>
      <c r="F105" s="60">
        <f t="shared" si="29"/>
        <v>54</v>
      </c>
      <c r="G105" s="58">
        <f t="shared" si="35"/>
        <v>54</v>
      </c>
      <c r="H105" s="60">
        <f t="shared" si="30"/>
        <v>44</v>
      </c>
      <c r="I105" s="61">
        <f t="shared" si="36"/>
        <v>3.3653846153846342E-3</v>
      </c>
      <c r="J105" s="61">
        <f t="shared" si="41"/>
        <v>0.31971153846153866</v>
      </c>
      <c r="K105" s="173">
        <f t="shared" si="37"/>
        <v>319.71153846153868</v>
      </c>
      <c r="L105" s="136">
        <f t="shared" si="38"/>
        <v>0.81481481481481477</v>
      </c>
      <c r="M105" s="59">
        <f t="shared" si="31"/>
        <v>0.54545454545454553</v>
      </c>
      <c r="N105" s="59">
        <f t="shared" si="39"/>
        <v>1.1008690828402428</v>
      </c>
      <c r="O105" s="59">
        <f t="shared" si="40"/>
        <v>327.11538461538453</v>
      </c>
      <c r="P105" s="59">
        <f t="shared" si="32"/>
        <v>593.65384615384608</v>
      </c>
      <c r="Q105" s="59">
        <f t="shared" si="33"/>
        <v>160.52884615384613</v>
      </c>
    </row>
    <row r="106" spans="1:17" x14ac:dyDescent="0.25">
      <c r="A106" s="59">
        <f t="shared" ref="A106:A114" si="42">VINMAX</f>
        <v>70</v>
      </c>
      <c r="B106" s="62">
        <f t="shared" ref="B106:B114" si="43">VINMAX*((ROW()-10)/104)</f>
        <v>64.615384615384613</v>
      </c>
      <c r="C106" s="60">
        <f t="shared" ref="C106:C110" si="44">IF(B106&gt;=$H$2,IF($D$2="CC", $G$2, B106/$G$2), 0)</f>
        <v>10</v>
      </c>
      <c r="D106" s="65">
        <f>B2</f>
        <v>3719.9999999999995</v>
      </c>
      <c r="E106" s="58">
        <f t="shared" si="34"/>
        <v>260</v>
      </c>
      <c r="F106" s="60">
        <f t="shared" ref="F106:F110" si="45">I_Cout_ss+C106</f>
        <v>54</v>
      </c>
      <c r="G106" s="58">
        <f t="shared" si="35"/>
        <v>54</v>
      </c>
      <c r="H106" s="60">
        <f t="shared" ref="H106:H110" si="46">G106-C106</f>
        <v>44</v>
      </c>
      <c r="I106" s="61">
        <f t="shared" si="36"/>
        <v>3.3653846153845991E-3</v>
      </c>
      <c r="J106" s="61">
        <f t="shared" si="41"/>
        <v>0.32307692307692326</v>
      </c>
      <c r="K106" s="173">
        <f t="shared" si="37"/>
        <v>323.07692307692326</v>
      </c>
      <c r="L106" s="136">
        <f t="shared" si="38"/>
        <v>0.81481481481481477</v>
      </c>
      <c r="M106" s="59">
        <f t="shared" ref="M106:M114" si="47">1/COUTMAX*(E106/2-C106)*1000</f>
        <v>0.54545454545454553</v>
      </c>
      <c r="N106" s="59">
        <f t="shared" si="39"/>
        <v>0.97855029585798392</v>
      </c>
      <c r="O106" s="59">
        <f t="shared" si="40"/>
        <v>290.76923076923089</v>
      </c>
      <c r="P106" s="59">
        <f t="shared" ref="P106:P114" si="48">(A106-B106)*(I_Cout_ss*$Q$2+C106)</f>
        <v>527.69230769230785</v>
      </c>
      <c r="Q106" s="59">
        <f t="shared" ref="Q106:Q114" si="49">(A106-B106)*(I_Cout_ss*$R$2+C106)</f>
        <v>142.69230769230774</v>
      </c>
    </row>
    <row r="107" spans="1:17" x14ac:dyDescent="0.25">
      <c r="A107" s="59">
        <f t="shared" si="42"/>
        <v>70</v>
      </c>
      <c r="B107" s="62">
        <f t="shared" si="43"/>
        <v>65.288461538461533</v>
      </c>
      <c r="C107" s="60">
        <f t="shared" si="44"/>
        <v>10</v>
      </c>
      <c r="D107" s="65">
        <f>B2</f>
        <v>3719.9999999999995</v>
      </c>
      <c r="E107" s="58">
        <f t="shared" si="34"/>
        <v>260</v>
      </c>
      <c r="F107" s="60">
        <f t="shared" si="45"/>
        <v>54</v>
      </c>
      <c r="G107" s="58">
        <f t="shared" si="35"/>
        <v>54</v>
      </c>
      <c r="H107" s="60">
        <f t="shared" si="46"/>
        <v>44</v>
      </c>
      <c r="I107" s="61">
        <f t="shared" ref="I107:I110" si="50">(COUTMAX/1000000)*(B107-B106)/H107</f>
        <v>3.3653846153845991E-3</v>
      </c>
      <c r="J107" s="61">
        <f t="shared" si="41"/>
        <v>0.32644230769230786</v>
      </c>
      <c r="K107" s="173">
        <f t="shared" si="37"/>
        <v>326.44230769230785</v>
      </c>
      <c r="L107" s="136">
        <f t="shared" si="38"/>
        <v>0.81481481481481477</v>
      </c>
      <c r="M107" s="59">
        <f t="shared" si="47"/>
        <v>0.54545454545454553</v>
      </c>
      <c r="N107" s="59">
        <f t="shared" si="39"/>
        <v>0.85623150887573651</v>
      </c>
      <c r="O107" s="59">
        <f t="shared" si="40"/>
        <v>254.42307692307722</v>
      </c>
      <c r="P107" s="59">
        <f t="shared" si="48"/>
        <v>461.73076923076974</v>
      </c>
      <c r="Q107" s="59">
        <f t="shared" si="49"/>
        <v>124.85576923076937</v>
      </c>
    </row>
    <row r="108" spans="1:17" x14ac:dyDescent="0.25">
      <c r="A108" s="59">
        <f t="shared" si="42"/>
        <v>70</v>
      </c>
      <c r="B108" s="62">
        <f t="shared" si="43"/>
        <v>65.961538461538467</v>
      </c>
      <c r="C108" s="60">
        <f t="shared" si="44"/>
        <v>10</v>
      </c>
      <c r="D108" s="65">
        <f>B2</f>
        <v>3719.9999999999995</v>
      </c>
      <c r="E108" s="58">
        <f t="shared" si="34"/>
        <v>260</v>
      </c>
      <c r="F108" s="60">
        <f t="shared" si="45"/>
        <v>54</v>
      </c>
      <c r="G108" s="58">
        <f t="shared" si="35"/>
        <v>54</v>
      </c>
      <c r="H108" s="60">
        <f t="shared" si="46"/>
        <v>44</v>
      </c>
      <c r="I108" s="61">
        <f t="shared" si="50"/>
        <v>3.3653846153846702E-3</v>
      </c>
      <c r="J108" s="61">
        <f t="shared" si="41"/>
        <v>0.32980769230769252</v>
      </c>
      <c r="K108" s="173">
        <f t="shared" si="37"/>
        <v>329.80769230769255</v>
      </c>
      <c r="L108" s="136">
        <f t="shared" si="38"/>
        <v>0.81481481481481477</v>
      </c>
      <c r="M108" s="59">
        <f t="shared" si="47"/>
        <v>0.54545454545454553</v>
      </c>
      <c r="N108" s="59">
        <f t="shared" si="39"/>
        <v>0.7339127218935021</v>
      </c>
      <c r="O108" s="59">
        <f t="shared" si="40"/>
        <v>218.07692307692278</v>
      </c>
      <c r="P108" s="59">
        <f t="shared" si="48"/>
        <v>395.76923076923026</v>
      </c>
      <c r="Q108" s="59">
        <f t="shared" si="49"/>
        <v>107.01923076923063</v>
      </c>
    </row>
    <row r="109" spans="1:17" x14ac:dyDescent="0.25">
      <c r="A109" s="59">
        <f t="shared" si="42"/>
        <v>70</v>
      </c>
      <c r="B109" s="62">
        <f t="shared" si="43"/>
        <v>66.634615384615387</v>
      </c>
      <c r="C109" s="60">
        <f t="shared" si="44"/>
        <v>10</v>
      </c>
      <c r="D109" s="65">
        <f>B2</f>
        <v>3719.9999999999995</v>
      </c>
      <c r="E109" s="58">
        <f t="shared" si="34"/>
        <v>260</v>
      </c>
      <c r="F109" s="60">
        <f t="shared" si="45"/>
        <v>54</v>
      </c>
      <c r="G109" s="58">
        <f t="shared" si="35"/>
        <v>54</v>
      </c>
      <c r="H109" s="60">
        <f t="shared" si="46"/>
        <v>44</v>
      </c>
      <c r="I109" s="61">
        <f t="shared" si="50"/>
        <v>3.3653846153845991E-3</v>
      </c>
      <c r="J109" s="61">
        <f t="shared" si="41"/>
        <v>0.33317307692307713</v>
      </c>
      <c r="K109" s="173">
        <f t="shared" si="37"/>
        <v>333.17307692307713</v>
      </c>
      <c r="L109" s="136">
        <f t="shared" si="38"/>
        <v>0.81481481481481477</v>
      </c>
      <c r="M109" s="59">
        <f t="shared" si="47"/>
        <v>0.54545454545454553</v>
      </c>
      <c r="N109" s="59">
        <f t="shared" si="39"/>
        <v>0.61159393491123926</v>
      </c>
      <c r="O109" s="59">
        <f t="shared" si="40"/>
        <v>181.73076923076911</v>
      </c>
      <c r="P109" s="59">
        <f t="shared" si="48"/>
        <v>329.80769230769209</v>
      </c>
      <c r="Q109" s="59">
        <f t="shared" si="49"/>
        <v>89.18269230769225</v>
      </c>
    </row>
    <row r="110" spans="1:17" x14ac:dyDescent="0.25">
      <c r="A110" s="59">
        <f t="shared" si="42"/>
        <v>70</v>
      </c>
      <c r="B110" s="62">
        <f t="shared" si="43"/>
        <v>67.307692307692307</v>
      </c>
      <c r="C110" s="60">
        <f t="shared" si="44"/>
        <v>10</v>
      </c>
      <c r="D110" s="65">
        <f>B2</f>
        <v>3719.9999999999995</v>
      </c>
      <c r="E110" s="58">
        <f t="shared" si="34"/>
        <v>260</v>
      </c>
      <c r="F110" s="60">
        <f t="shared" si="45"/>
        <v>54</v>
      </c>
      <c r="G110" s="58">
        <f t="shared" si="35"/>
        <v>54</v>
      </c>
      <c r="H110" s="60">
        <f t="shared" si="46"/>
        <v>44</v>
      </c>
      <c r="I110" s="61">
        <f t="shared" si="50"/>
        <v>3.3653846153845991E-3</v>
      </c>
      <c r="J110" s="61">
        <f t="shared" si="41"/>
        <v>0.33653846153846173</v>
      </c>
      <c r="K110" s="173">
        <f t="shared" si="37"/>
        <v>336.53846153846172</v>
      </c>
      <c r="L110" s="136">
        <f t="shared" si="38"/>
        <v>0.81481481481481477</v>
      </c>
      <c r="M110" s="59">
        <f t="shared" si="47"/>
        <v>0.54545454545454553</v>
      </c>
      <c r="N110" s="59">
        <f t="shared" si="39"/>
        <v>0.48927514792899196</v>
      </c>
      <c r="O110" s="59">
        <f t="shared" si="40"/>
        <v>145.38461538461544</v>
      </c>
      <c r="P110" s="59">
        <f t="shared" si="48"/>
        <v>263.84615384615392</v>
      </c>
      <c r="Q110" s="59">
        <f t="shared" si="49"/>
        <v>71.346153846153868</v>
      </c>
    </row>
    <row r="111" spans="1:17" x14ac:dyDescent="0.25">
      <c r="A111" s="59">
        <f t="shared" si="42"/>
        <v>70</v>
      </c>
      <c r="B111" s="62">
        <f t="shared" si="43"/>
        <v>67.980769230769226</v>
      </c>
      <c r="C111" s="60">
        <f>IF(B111&gt;=$H$2,IF($D$2="CC", $G$2, B111/$G$2), 0)</f>
        <v>10</v>
      </c>
      <c r="D111" s="65">
        <f>B2</f>
        <v>3719.9999999999995</v>
      </c>
      <c r="E111" s="58">
        <f>$C$2</f>
        <v>260</v>
      </c>
      <c r="F111" s="60">
        <f>I_Cout_ss+C111</f>
        <v>54</v>
      </c>
      <c r="G111" s="58">
        <f t="shared" si="35"/>
        <v>54</v>
      </c>
      <c r="H111" s="60">
        <f>G111-C111</f>
        <v>44</v>
      </c>
      <c r="I111" s="61">
        <f>(COUTMAX/1000000)*(B111-B110)/H111</f>
        <v>3.3653846153845991E-3</v>
      </c>
      <c r="J111" s="61">
        <f>J110+I111</f>
        <v>0.33990384615384633</v>
      </c>
      <c r="K111" s="173">
        <f t="shared" si="37"/>
        <v>339.90384615384636</v>
      </c>
      <c r="L111" s="136">
        <f>H111/G111</f>
        <v>0.81481481481481477</v>
      </c>
      <c r="M111" s="59">
        <f t="shared" si="47"/>
        <v>0.54545454545454553</v>
      </c>
      <c r="N111" s="59">
        <f>I111*G111*(A111-B111)</f>
        <v>0.36695636094674461</v>
      </c>
      <c r="O111" s="59">
        <f t="shared" si="40"/>
        <v>109.03846153846177</v>
      </c>
      <c r="P111" s="59">
        <f t="shared" si="48"/>
        <v>197.88461538461581</v>
      </c>
      <c r="Q111" s="59">
        <f t="shared" si="49"/>
        <v>53.5096153846155</v>
      </c>
    </row>
    <row r="112" spans="1:17" x14ac:dyDescent="0.25">
      <c r="A112" s="59">
        <f t="shared" si="42"/>
        <v>70</v>
      </c>
      <c r="B112" s="62">
        <f t="shared" si="43"/>
        <v>68.653846153846146</v>
      </c>
      <c r="C112" s="60">
        <f>IF(B112&gt;=$H$2,IF($D$2="CC", $G$2, B112/$G$2), 0)</f>
        <v>10</v>
      </c>
      <c r="D112" s="65">
        <f>B2</f>
        <v>3719.9999999999995</v>
      </c>
      <c r="E112" s="58">
        <f>$C$2</f>
        <v>260</v>
      </c>
      <c r="F112" s="60">
        <f t="shared" ref="F112:F113" si="51">I_Cout_ss+C112</f>
        <v>54</v>
      </c>
      <c r="G112" s="58">
        <f t="shared" si="35"/>
        <v>54</v>
      </c>
      <c r="H112" s="60">
        <f t="shared" ref="H112:H113" si="52">G112-C112</f>
        <v>44</v>
      </c>
      <c r="I112" s="61">
        <f t="shared" ref="I112:I113" si="53">(COUTMAX/1000000)*(B112-B111)/H112</f>
        <v>3.3653846153845991E-3</v>
      </c>
      <c r="J112" s="61">
        <f t="shared" ref="J112:J113" si="54">J111+I112</f>
        <v>0.34326923076923094</v>
      </c>
      <c r="K112" s="173">
        <f t="shared" si="37"/>
        <v>343.26923076923094</v>
      </c>
      <c r="L112" s="136">
        <f t="shared" ref="L112:L113" si="55">H112/G112</f>
        <v>0.81481481481481477</v>
      </c>
      <c r="M112" s="59">
        <f t="shared" si="47"/>
        <v>0.54545454545454553</v>
      </c>
      <c r="N112" s="59">
        <f t="shared" ref="N112:N113" si="56">I112*G112*(A112-B112)</f>
        <v>0.24463757396449726</v>
      </c>
      <c r="O112" s="59">
        <f t="shared" si="40"/>
        <v>72.692307692308106</v>
      </c>
      <c r="P112" s="59">
        <f t="shared" si="48"/>
        <v>131.92307692307767</v>
      </c>
      <c r="Q112" s="59">
        <f t="shared" si="49"/>
        <v>35.673076923077126</v>
      </c>
    </row>
    <row r="113" spans="1:17" x14ac:dyDescent="0.25">
      <c r="A113" s="59">
        <f t="shared" si="42"/>
        <v>70</v>
      </c>
      <c r="B113" s="62">
        <f t="shared" si="43"/>
        <v>69.32692307692308</v>
      </c>
      <c r="C113" s="60">
        <f>IF(B113&gt;=$H$2,IF($D$2="CC", $G$2, B113/$G$2), 0)</f>
        <v>10</v>
      </c>
      <c r="D113" s="65">
        <f>B2</f>
        <v>3719.9999999999995</v>
      </c>
      <c r="E113" s="58">
        <f>$C$2</f>
        <v>260</v>
      </c>
      <c r="F113" s="60">
        <f t="shared" si="51"/>
        <v>54</v>
      </c>
      <c r="G113" s="58">
        <f t="shared" si="35"/>
        <v>54</v>
      </c>
      <c r="H113" s="60">
        <f t="shared" si="52"/>
        <v>44</v>
      </c>
      <c r="I113" s="61">
        <f t="shared" si="53"/>
        <v>3.3653846153846702E-3</v>
      </c>
      <c r="J113" s="61">
        <f t="shared" si="54"/>
        <v>0.3466346153846156</v>
      </c>
      <c r="K113" s="173">
        <f t="shared" si="37"/>
        <v>346.63461538461559</v>
      </c>
      <c r="L113" s="136">
        <f t="shared" si="55"/>
        <v>0.81481481481481477</v>
      </c>
      <c r="M113" s="59">
        <f t="shared" si="47"/>
        <v>0.54545454545454553</v>
      </c>
      <c r="N113" s="59">
        <f t="shared" si="56"/>
        <v>0.12231878698224992</v>
      </c>
      <c r="O113" s="59">
        <f t="shared" si="40"/>
        <v>36.346153846153669</v>
      </c>
      <c r="P113" s="59">
        <f t="shared" si="48"/>
        <v>65.96153846153814</v>
      </c>
      <c r="Q113" s="59">
        <f t="shared" si="49"/>
        <v>17.836538461538375</v>
      </c>
    </row>
    <row r="114" spans="1:17" x14ac:dyDescent="0.25">
      <c r="A114" s="59">
        <f t="shared" si="42"/>
        <v>70</v>
      </c>
      <c r="B114" s="62">
        <f t="shared" si="43"/>
        <v>70</v>
      </c>
      <c r="C114" s="60">
        <f>IF(B114&gt;=$H$2,IF($D$2="CC", $G$2, B114/$G$2), 0)</f>
        <v>10</v>
      </c>
      <c r="D114" s="65">
        <f>B2</f>
        <v>3719.9999999999995</v>
      </c>
      <c r="E114" s="58">
        <f>$C$2</f>
        <v>260</v>
      </c>
      <c r="F114" s="60">
        <f t="shared" ref="F114" si="57">I_Cout_ss+C114</f>
        <v>54</v>
      </c>
      <c r="G114" s="58">
        <f t="shared" si="35"/>
        <v>54</v>
      </c>
      <c r="H114" s="60">
        <f t="shared" ref="H114" si="58">G114-C114</f>
        <v>44</v>
      </c>
      <c r="I114" s="61">
        <f t="shared" ref="I114" si="59">(COUTMAX/1000000)*(B114-B113)/H114</f>
        <v>3.3653846153845991E-3</v>
      </c>
      <c r="J114" s="61">
        <f t="shared" ref="J114" si="60">J113+I114</f>
        <v>0.3500000000000002</v>
      </c>
      <c r="K114" s="173">
        <f t="shared" si="37"/>
        <v>350.00000000000023</v>
      </c>
      <c r="L114" s="136">
        <f t="shared" ref="L114" si="61">H114/G114</f>
        <v>0.81481481481481477</v>
      </c>
      <c r="M114" s="59">
        <f t="shared" si="47"/>
        <v>0.54545454545454553</v>
      </c>
      <c r="N114" s="59">
        <f t="shared" ref="N114" si="62">I114*G114*(A114-B114)</f>
        <v>0</v>
      </c>
      <c r="O114" s="59">
        <f t="shared" si="40"/>
        <v>0</v>
      </c>
      <c r="P114" s="59">
        <f t="shared" si="48"/>
        <v>0</v>
      </c>
      <c r="Q114" s="59">
        <f t="shared" si="49"/>
        <v>0</v>
      </c>
    </row>
    <row r="115" spans="1:17" x14ac:dyDescent="0.25">
      <c r="K115" s="174">
        <f>K114+0.5</f>
        <v>350.50000000000023</v>
      </c>
      <c r="N115" s="59">
        <v>0</v>
      </c>
      <c r="O115" s="59">
        <v>0</v>
      </c>
    </row>
  </sheetData>
  <mergeCells count="1">
    <mergeCell ref="X12:Y12"/>
  </mergeCells>
  <phoneticPr fontId="58" type="noConversion"/>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U142"/>
  <sheetViews>
    <sheetView zoomScale="70" zoomScaleNormal="70" workbookViewId="0">
      <selection activeCell="C140" sqref="C140"/>
    </sheetView>
  </sheetViews>
  <sheetFormatPr defaultRowHeight="13.2" x14ac:dyDescent="0.25"/>
  <cols>
    <col min="1" max="1" width="19.77734375" customWidth="1"/>
    <col min="2" max="2" width="17.21875" customWidth="1"/>
    <col min="3" max="3" width="13.21875" customWidth="1"/>
    <col min="4" max="4" width="16" customWidth="1"/>
    <col min="5" max="6" width="17.77734375" customWidth="1"/>
    <col min="7" max="7" width="31.5546875" customWidth="1"/>
    <col min="8" max="8" width="20" customWidth="1"/>
    <col min="13" max="13" width="12.77734375" customWidth="1"/>
    <col min="15" max="15" width="17.21875" customWidth="1"/>
    <col min="17" max="17" width="13.21875" customWidth="1"/>
    <col min="18" max="18" width="16.77734375" customWidth="1"/>
    <col min="20" max="20" width="13" customWidth="1"/>
    <col min="21" max="21" width="10.21875" customWidth="1"/>
  </cols>
  <sheetData>
    <row r="2" spans="1:21" ht="30" customHeight="1" x14ac:dyDescent="0.4">
      <c r="A2" s="272" t="s">
        <v>635</v>
      </c>
    </row>
    <row r="4" spans="1:21" x14ac:dyDescent="0.25">
      <c r="A4" s="67"/>
      <c r="B4" s="368" t="s">
        <v>168</v>
      </c>
      <c r="C4" s="368"/>
      <c r="D4" s="368"/>
      <c r="E4" s="368"/>
      <c r="F4" s="368"/>
      <c r="G4" s="1"/>
      <c r="H4" s="25" t="s">
        <v>188</v>
      </c>
      <c r="O4" s="1"/>
      <c r="P4" s="1"/>
      <c r="Q4" s="1"/>
      <c r="R4" s="1"/>
      <c r="S4" s="1"/>
      <c r="T4" s="1"/>
    </row>
    <row r="5" spans="1:21" x14ac:dyDescent="0.25">
      <c r="A5" s="67"/>
      <c r="B5" s="68" t="s">
        <v>630</v>
      </c>
      <c r="C5" s="68" t="s">
        <v>224</v>
      </c>
      <c r="D5" s="68" t="s">
        <v>169</v>
      </c>
      <c r="E5" s="68" t="s">
        <v>170</v>
      </c>
      <c r="F5" s="68" t="s">
        <v>171</v>
      </c>
      <c r="G5" s="25"/>
      <c r="H5" s="25" t="s">
        <v>186</v>
      </c>
      <c r="I5" s="1"/>
      <c r="J5" s="1"/>
      <c r="K5" s="1"/>
      <c r="L5" s="1"/>
      <c r="M5" s="1"/>
      <c r="O5" s="1"/>
      <c r="P5" s="1"/>
      <c r="Q5" s="16"/>
      <c r="R5" s="16"/>
      <c r="S5" s="16"/>
      <c r="T5" s="16"/>
    </row>
    <row r="6" spans="1:21" ht="21.6" customHeight="1" x14ac:dyDescent="0.25">
      <c r="A6" s="68" t="s">
        <v>172</v>
      </c>
      <c r="B6" s="69">
        <f ca="1">'Design Calculator'!F57</f>
        <v>400</v>
      </c>
      <c r="C6" s="69">
        <f ca="1">'Design Calculator'!F58</f>
        <v>102.96332787594578</v>
      </c>
      <c r="D6" s="69">
        <f ca="1">'Design Calculator'!F59</f>
        <v>9.3925961370914308</v>
      </c>
      <c r="E6" s="69">
        <f ca="1">'Design Calculator'!F60</f>
        <v>2.9226229456700832</v>
      </c>
      <c r="F6" s="69">
        <f ca="1">'Design Calculator'!F61</f>
        <v>1.4911781555733927</v>
      </c>
      <c r="G6" s="3"/>
      <c r="H6" s="25" t="s">
        <v>187</v>
      </c>
      <c r="I6" s="1"/>
      <c r="J6" s="1"/>
      <c r="K6" s="1"/>
      <c r="L6" s="16"/>
      <c r="M6" s="16"/>
      <c r="O6" s="1"/>
      <c r="P6" s="1"/>
      <c r="Q6" s="16"/>
      <c r="R6" s="16"/>
      <c r="S6" s="16"/>
      <c r="T6" s="16"/>
    </row>
    <row r="7" spans="1:21" ht="13.8" x14ac:dyDescent="0.3">
      <c r="B7" s="26" t="s">
        <v>553</v>
      </c>
      <c r="C7" s="1">
        <f ca="1">'Design Calculator'!F56</f>
        <v>175</v>
      </c>
      <c r="D7" s="72" t="s">
        <v>631</v>
      </c>
      <c r="E7" s="16"/>
      <c r="F7" s="16"/>
      <c r="G7" s="16"/>
      <c r="I7" s="1"/>
      <c r="J7" s="1"/>
      <c r="K7" s="1"/>
      <c r="L7" s="16"/>
      <c r="M7" s="16"/>
      <c r="N7" s="365"/>
      <c r="O7" s="365"/>
      <c r="P7" s="365"/>
      <c r="Q7" s="16"/>
      <c r="R7" s="369"/>
      <c r="S7" s="370"/>
      <c r="T7" s="370"/>
    </row>
    <row r="8" spans="1:21" x14ac:dyDescent="0.25">
      <c r="C8" s="1"/>
      <c r="D8" s="16"/>
      <c r="E8" s="16"/>
      <c r="F8" s="16"/>
      <c r="G8" s="16"/>
      <c r="I8" s="1"/>
      <c r="J8" s="1"/>
      <c r="K8" s="1"/>
      <c r="L8" s="16"/>
      <c r="M8" s="16"/>
      <c r="O8" s="25"/>
    </row>
    <row r="9" spans="1:21" ht="17.399999999999999" x14ac:dyDescent="0.4">
      <c r="B9" s="70" t="s">
        <v>363</v>
      </c>
      <c r="G9" s="163" t="s">
        <v>350</v>
      </c>
      <c r="J9" s="172"/>
      <c r="K9" s="16"/>
      <c r="N9" s="25"/>
      <c r="O9" s="25"/>
      <c r="P9" s="25"/>
      <c r="T9" s="71"/>
      <c r="U9" s="1"/>
    </row>
    <row r="10" spans="1:21" ht="17.399999999999999" x14ac:dyDescent="0.4">
      <c r="B10" s="25" t="s">
        <v>173</v>
      </c>
      <c r="C10">
        <f>IF('Design Calculator'!F30="Power Limit", 'Design Calculator'!$F$84,'Design Calculator'!F97)</f>
        <v>0.24440000000000001</v>
      </c>
      <c r="D10" s="25" t="s">
        <v>8</v>
      </c>
      <c r="G10" s="25" t="s">
        <v>173</v>
      </c>
      <c r="H10">
        <f>Equations!F64</f>
        <v>180.59818786982245</v>
      </c>
      <c r="J10" s="66"/>
      <c r="K10" s="16"/>
      <c r="N10" s="25"/>
      <c r="P10" s="71"/>
      <c r="T10" s="71"/>
      <c r="U10" s="1"/>
    </row>
    <row r="11" spans="1:21" ht="17.399999999999999" x14ac:dyDescent="0.4">
      <c r="B11" s="25" t="s">
        <v>174</v>
      </c>
      <c r="C11">
        <f>VINMAX</f>
        <v>70</v>
      </c>
      <c r="D11" t="s">
        <v>86</v>
      </c>
      <c r="G11" s="25" t="s">
        <v>174</v>
      </c>
      <c r="H11">
        <f>VINMAX</f>
        <v>70</v>
      </c>
      <c r="K11" s="16"/>
      <c r="N11" s="25"/>
      <c r="P11" s="71"/>
      <c r="T11" s="71"/>
    </row>
    <row r="12" spans="1:21" ht="17.399999999999999" x14ac:dyDescent="0.4">
      <c r="B12" s="25" t="s">
        <v>175</v>
      </c>
      <c r="C12">
        <f>IF(C10&lt;10, IF(C10&lt;1, 0.1, 1), IF(C10&lt;100, 10, 100))</f>
        <v>0.1</v>
      </c>
      <c r="D12" s="25" t="s">
        <v>8</v>
      </c>
      <c r="G12" s="25" t="s">
        <v>175</v>
      </c>
      <c r="H12">
        <f>IF(H10&lt;10, IF(H10&lt;1, 0.1, 1), IF(H10&lt;100, 10, 100))</f>
        <v>100</v>
      </c>
      <c r="K12" s="16"/>
      <c r="N12" s="25"/>
      <c r="P12" s="71"/>
      <c r="T12" s="71"/>
    </row>
    <row r="13" spans="1:21" ht="17.399999999999999" x14ac:dyDescent="0.4">
      <c r="B13" s="25" t="s">
        <v>453</v>
      </c>
      <c r="C13">
        <f>SOA!C12</f>
        <v>0.1</v>
      </c>
      <c r="D13" s="25"/>
      <c r="G13" s="25" t="s">
        <v>453</v>
      </c>
      <c r="H13">
        <f>IF('Design Calculator'!H62="NA", MIN(SOA!H12,1),SOA!H12)</f>
        <v>100</v>
      </c>
      <c r="K13" s="16"/>
      <c r="P13" s="71"/>
    </row>
    <row r="14" spans="1:21" x14ac:dyDescent="0.25">
      <c r="B14" s="25" t="s">
        <v>176</v>
      </c>
      <c r="C14">
        <f>C12*10</f>
        <v>1</v>
      </c>
      <c r="D14" s="25" t="s">
        <v>8</v>
      </c>
      <c r="G14" s="25" t="s">
        <v>435</v>
      </c>
      <c r="H14">
        <f>H12*10</f>
        <v>1000</v>
      </c>
      <c r="K14" s="16"/>
    </row>
    <row r="15" spans="1:21" x14ac:dyDescent="0.25">
      <c r="B15" s="25" t="s">
        <v>454</v>
      </c>
      <c r="C15">
        <f>SOA!C14</f>
        <v>1</v>
      </c>
      <c r="D15" s="25"/>
      <c r="G15" s="25" t="s">
        <v>454</v>
      </c>
      <c r="H15">
        <f>IF('Design Calculator'!H63="NA", MIN(SOA!H14,10),SOA!H14)</f>
        <v>1000</v>
      </c>
      <c r="K15" s="16"/>
    </row>
    <row r="16" spans="1:21" x14ac:dyDescent="0.25">
      <c r="B16" s="25" t="s">
        <v>177</v>
      </c>
      <c r="C16">
        <f ca="1">IF(C12=0.01, B6, IF(C12=0.1, C6, IF(C12=1, D6, IF(C12=10,E6,F6))))</f>
        <v>102.96332787594578</v>
      </c>
      <c r="D16" s="25" t="s">
        <v>25</v>
      </c>
      <c r="G16" s="25" t="s">
        <v>177</v>
      </c>
      <c r="H16">
        <f ca="1">IF(H13=0.01, B6, IF(H13=0.1, C6, IF(H13=1, D6, IF(H13=10,E6,F6))))</f>
        <v>1.4911781555733927</v>
      </c>
      <c r="K16" s="16"/>
    </row>
    <row r="17" spans="2:15" x14ac:dyDescent="0.25">
      <c r="B17" s="25" t="s">
        <v>178</v>
      </c>
      <c r="C17">
        <f ca="1">IF(C14=100, F6, IF(C14=10, E6, IF(C14=1, D6, IF(C14=0.1,C6,B6))))</f>
        <v>9.3925961370914308</v>
      </c>
      <c r="D17" s="25" t="s">
        <v>25</v>
      </c>
      <c r="G17" s="25" t="s">
        <v>178</v>
      </c>
      <c r="H17">
        <f ca="1">IF(H15=100, F6, IF(H15=10, E6, IF(H15=1, D6, IF(H15=0.1,C6,B6))))</f>
        <v>400</v>
      </c>
      <c r="K17" s="16"/>
    </row>
    <row r="18" spans="2:15" x14ac:dyDescent="0.25">
      <c r="K18" s="16"/>
    </row>
    <row r="19" spans="2:15" x14ac:dyDescent="0.25">
      <c r="B19" s="25" t="s">
        <v>182</v>
      </c>
      <c r="G19" s="25" t="s">
        <v>182</v>
      </c>
      <c r="K19" s="16"/>
    </row>
    <row r="20" spans="2:15" x14ac:dyDescent="0.25">
      <c r="B20" s="25" t="s">
        <v>179</v>
      </c>
      <c r="C20">
        <f ca="1">C16/C13^C21</f>
        <v>9.392596137091429</v>
      </c>
      <c r="F20" s="25"/>
      <c r="G20" s="25" t="s">
        <v>179</v>
      </c>
      <c r="H20">
        <f ca="1">H16/H13^H21</f>
        <v>2.0723762973667394E-5</v>
      </c>
    </row>
    <row r="21" spans="2:15" x14ac:dyDescent="0.25">
      <c r="B21" s="25" t="s">
        <v>180</v>
      </c>
      <c r="C21">
        <f ca="1">LOG(C16/C17)/LOG(C13/C15)</f>
        <v>-1.0398969220065089</v>
      </c>
      <c r="F21" s="25"/>
      <c r="G21" s="25" t="s">
        <v>180</v>
      </c>
      <c r="H21">
        <f ca="1">IF(H16=H17,0.000000000001,LOG(H16/H17)/LOG(H13/H15))</f>
        <v>2.4285304582972831</v>
      </c>
      <c r="I21" s="25" t="s">
        <v>443</v>
      </c>
      <c r="K21" s="16"/>
    </row>
    <row r="22" spans="2:15" x14ac:dyDescent="0.25">
      <c r="B22" s="25" t="s">
        <v>181</v>
      </c>
      <c r="C22">
        <f ca="1">C20*C10^C21</f>
        <v>40.653442389678794</v>
      </c>
      <c r="D22" s="25" t="s">
        <v>25</v>
      </c>
      <c r="G22" s="25" t="s">
        <v>181</v>
      </c>
      <c r="H22">
        <f ca="1">H20*H10^H21</f>
        <v>6.2656454412527447</v>
      </c>
      <c r="K22" s="16"/>
      <c r="M22" s="25"/>
    </row>
    <row r="23" spans="2:15" x14ac:dyDescent="0.25">
      <c r="K23" s="16"/>
      <c r="N23" s="1"/>
    </row>
    <row r="24" spans="2:15" x14ac:dyDescent="0.25">
      <c r="B24" s="26" t="s">
        <v>183</v>
      </c>
      <c r="C24">
        <f ca="1" xml:space="preserve"> C22*C11</f>
        <v>2845.7409672775157</v>
      </c>
      <c r="D24" s="25"/>
      <c r="G24" s="26" t="s">
        <v>183</v>
      </c>
      <c r="H24">
        <f ca="1" xml:space="preserve"> H22*H11</f>
        <v>438.59518088769215</v>
      </c>
      <c r="K24" s="16"/>
    </row>
    <row r="25" spans="2:15" x14ac:dyDescent="0.25">
      <c r="K25" s="16"/>
    </row>
    <row r="26" spans="2:15" x14ac:dyDescent="0.25">
      <c r="G26" s="25" t="s">
        <v>370</v>
      </c>
      <c r="H26" t="str">
        <f>'Design Calculator'!F86</f>
        <v>No</v>
      </c>
      <c r="K26" s="16"/>
      <c r="O26" s="1"/>
    </row>
    <row r="27" spans="2:15" x14ac:dyDescent="0.25">
      <c r="B27" s="66" t="s">
        <v>189</v>
      </c>
      <c r="C27">
        <f ca="1">(C7-TJDC1)/(C7-25)</f>
        <v>0.68777777777777782</v>
      </c>
      <c r="D27" s="16"/>
      <c r="E27" s="16"/>
      <c r="F27" s="16"/>
      <c r="G27" s="25" t="s">
        <v>369</v>
      </c>
      <c r="H27">
        <f>IF(H26="Yes", TJDC1,TAMB)</f>
        <v>50</v>
      </c>
      <c r="K27" s="16"/>
      <c r="O27" s="1"/>
    </row>
    <row r="28" spans="2:15" x14ac:dyDescent="0.25">
      <c r="B28" s="26" t="s">
        <v>184</v>
      </c>
      <c r="C28">
        <f ca="1">IF((C24*C27)&lt;0,0.000000001,C24*C27)</f>
        <v>1957.2373986053137</v>
      </c>
      <c r="D28" s="72" t="s">
        <v>87</v>
      </c>
      <c r="E28" s="16"/>
      <c r="F28" s="16"/>
      <c r="K28" s="16"/>
    </row>
    <row r="29" spans="2:15" x14ac:dyDescent="0.25">
      <c r="B29" s="1"/>
      <c r="C29" s="1"/>
      <c r="D29" s="16"/>
      <c r="E29" s="16"/>
      <c r="F29" s="16"/>
      <c r="G29" s="66" t="s">
        <v>189</v>
      </c>
      <c r="H29">
        <f ca="1">(C7-H27)/(C7-25)</f>
        <v>0.83333333333333337</v>
      </c>
      <c r="K29" s="16"/>
    </row>
    <row r="30" spans="2:15" x14ac:dyDescent="0.25">
      <c r="B30" s="1"/>
      <c r="D30" s="16"/>
      <c r="E30" s="16"/>
      <c r="F30" s="16"/>
      <c r="G30" s="26" t="s">
        <v>184</v>
      </c>
      <c r="H30">
        <f ca="1">IF((H24*H29)&lt;0,0.000000001,H24*H29)</f>
        <v>365.49598407307678</v>
      </c>
      <c r="K30" s="16"/>
    </row>
    <row r="31" spans="2:15" x14ac:dyDescent="0.25">
      <c r="B31" s="66" t="s">
        <v>397</v>
      </c>
      <c r="D31" s="16"/>
      <c r="E31" s="16"/>
      <c r="F31" s="16"/>
      <c r="I31" s="3"/>
      <c r="J31" s="3"/>
      <c r="K31" s="3"/>
    </row>
    <row r="32" spans="2:15" x14ac:dyDescent="0.25">
      <c r="C32" s="172" t="s">
        <v>632</v>
      </c>
      <c r="D32" s="176" t="s">
        <v>398</v>
      </c>
      <c r="E32" s="176" t="s">
        <v>633</v>
      </c>
      <c r="F32" s="176" t="s">
        <v>634</v>
      </c>
      <c r="G32" s="16"/>
      <c r="I32" s="3"/>
      <c r="J32" s="3"/>
      <c r="K32" s="3"/>
    </row>
    <row r="33" spans="2:7" x14ac:dyDescent="0.25">
      <c r="B33" s="66" t="s">
        <v>399</v>
      </c>
      <c r="C33" s="66">
        <v>0.01</v>
      </c>
      <c r="D33" s="1">
        <v>0.1</v>
      </c>
      <c r="E33" s="1">
        <v>1</v>
      </c>
      <c r="F33" s="1">
        <v>10</v>
      </c>
      <c r="G33" s="163"/>
    </row>
    <row r="34" spans="2:7" x14ac:dyDescent="0.25">
      <c r="B34" s="66" t="s">
        <v>400</v>
      </c>
      <c r="C34" s="1">
        <v>0.1</v>
      </c>
      <c r="D34" s="1">
        <v>1</v>
      </c>
      <c r="E34" s="1">
        <v>10</v>
      </c>
      <c r="F34" s="1">
        <v>100</v>
      </c>
      <c r="G34" s="26"/>
    </row>
    <row r="35" spans="2:7" x14ac:dyDescent="0.25">
      <c r="B35" s="66" t="s">
        <v>179</v>
      </c>
      <c r="C35" s="1">
        <f ca="1">B6/(C33^C36)</f>
        <v>26.503617218223791</v>
      </c>
      <c r="D35" s="1">
        <f ca="1">C6/(D33^D36)</f>
        <v>9.392596137091429</v>
      </c>
      <c r="E35" s="1">
        <f ca="1">D6/(E33^E36)</f>
        <v>9.3925961370914308</v>
      </c>
      <c r="F35" s="1">
        <f ca="1">E6/(F33^F36)</f>
        <v>5.7281719495634524</v>
      </c>
      <c r="G35" s="25"/>
    </row>
    <row r="36" spans="2:7" x14ac:dyDescent="0.25">
      <c r="B36" s="66" t="s">
        <v>180</v>
      </c>
      <c r="C36" s="16">
        <f ca="1">LOG(B6/C6)/LOG(C33/C34)</f>
        <v>-0.58937742038032037</v>
      </c>
      <c r="D36" s="16">
        <f ca="1">LOG(C6/D6)/LOG(D33/D34)</f>
        <v>-1.0398969220065089</v>
      </c>
      <c r="E36" s="16">
        <f ca="1">IF('Design Calculator'!H63="NA", D36, LOG(D6/E6)/LOG(E33/E34))</f>
        <v>-0.50701285930297757</v>
      </c>
      <c r="F36" s="16">
        <f ca="1">IF('Design Calculator'!H63="NA",E36,LOG(E6/F6)/LOG(F33/F34))</f>
        <v>-0.29224325660747624</v>
      </c>
      <c r="G36" s="25"/>
    </row>
    <row r="37" spans="2:7" x14ac:dyDescent="0.25">
      <c r="E37" s="16"/>
      <c r="G37" s="25"/>
    </row>
    <row r="38" spans="2:7" x14ac:dyDescent="0.25">
      <c r="E38" s="16"/>
      <c r="G38" s="25"/>
    </row>
    <row r="39" spans="2:7" ht="13.8" thickBot="1" x14ac:dyDescent="0.3">
      <c r="B39" s="66" t="s">
        <v>636</v>
      </c>
      <c r="E39" s="16"/>
      <c r="G39" s="25"/>
    </row>
    <row r="40" spans="2:7" ht="13.8" thickBot="1" x14ac:dyDescent="0.3">
      <c r="B40" s="279" t="s">
        <v>637</v>
      </c>
      <c r="C40" s="280" t="s">
        <v>638</v>
      </c>
      <c r="E40" s="16"/>
      <c r="G40" s="25"/>
    </row>
    <row r="41" spans="2:7" x14ac:dyDescent="0.25">
      <c r="B41" s="277">
        <v>1</v>
      </c>
      <c r="C41" s="278">
        <f ca="1">$C$28/B41</f>
        <v>1957.2373986053137</v>
      </c>
      <c r="E41" s="16"/>
    </row>
    <row r="42" spans="2:7" x14ac:dyDescent="0.25">
      <c r="B42" s="273">
        <v>1.2</v>
      </c>
      <c r="C42" s="274">
        <f t="shared" ref="C42:C46" ca="1" si="0">$C$28/B42</f>
        <v>1631.0311655044281</v>
      </c>
      <c r="E42" s="16"/>
      <c r="G42" s="25"/>
    </row>
    <row r="43" spans="2:7" x14ac:dyDescent="0.25">
      <c r="B43" s="273">
        <v>30</v>
      </c>
      <c r="C43" s="274">
        <f t="shared" ca="1" si="0"/>
        <v>65.241246620177122</v>
      </c>
      <c r="E43" s="16"/>
    </row>
    <row r="44" spans="2:7" x14ac:dyDescent="0.25">
      <c r="B44" s="273">
        <v>60</v>
      </c>
      <c r="C44" s="274">
        <f t="shared" ca="1" si="0"/>
        <v>32.620623310088561</v>
      </c>
      <c r="E44" s="16"/>
      <c r="G44" s="25"/>
    </row>
    <row r="45" spans="2:7" x14ac:dyDescent="0.25">
      <c r="B45" s="273">
        <v>80</v>
      </c>
      <c r="C45" s="274">
        <f t="shared" ca="1" si="0"/>
        <v>24.465467482566421</v>
      </c>
      <c r="E45" s="16"/>
      <c r="G45" s="25"/>
    </row>
    <row r="46" spans="2:7" ht="13.8" thickBot="1" x14ac:dyDescent="0.3">
      <c r="B46" s="275">
        <v>100</v>
      </c>
      <c r="C46" s="276">
        <f t="shared" ca="1" si="0"/>
        <v>19.572373986053137</v>
      </c>
      <c r="E46" s="16"/>
      <c r="G46" s="25"/>
    </row>
    <row r="47" spans="2:7" x14ac:dyDescent="0.25">
      <c r="E47" s="16"/>
    </row>
    <row r="48" spans="2:7" x14ac:dyDescent="0.25">
      <c r="E48" s="16"/>
      <c r="G48" s="26"/>
    </row>
    <row r="49" spans="1:10" x14ac:dyDescent="0.25">
      <c r="E49" s="16"/>
    </row>
    <row r="50" spans="1:10" ht="24.6" x14ac:dyDescent="0.4">
      <c r="A50" s="272" t="s">
        <v>639</v>
      </c>
    </row>
    <row r="52" spans="1:10" x14ac:dyDescent="0.25">
      <c r="A52" s="67"/>
      <c r="B52" s="368" t="s">
        <v>168</v>
      </c>
      <c r="C52" s="368"/>
      <c r="D52" s="368"/>
      <c r="E52" s="368"/>
      <c r="F52" s="368"/>
      <c r="G52" s="1"/>
      <c r="H52" s="25" t="s">
        <v>188</v>
      </c>
    </row>
    <row r="53" spans="1:10" x14ac:dyDescent="0.25">
      <c r="A53" s="67"/>
      <c r="B53" s="68" t="s">
        <v>630</v>
      </c>
      <c r="C53" s="68" t="s">
        <v>224</v>
      </c>
      <c r="D53" s="68" t="s">
        <v>169</v>
      </c>
      <c r="E53" s="68" t="s">
        <v>170</v>
      </c>
      <c r="F53" s="68" t="s">
        <v>171</v>
      </c>
      <c r="G53" s="25"/>
      <c r="H53" s="25" t="s">
        <v>186</v>
      </c>
      <c r="I53" s="1"/>
      <c r="J53" s="1"/>
    </row>
    <row r="54" spans="1:10" x14ac:dyDescent="0.25">
      <c r="A54" s="68" t="s">
        <v>172</v>
      </c>
      <c r="B54" s="69">
        <f ca="1">'Design Calculator'!G57</f>
        <v>400</v>
      </c>
      <c r="C54" s="69">
        <f ca="1">'Design Calculator'!G58</f>
        <v>37.376167055797616</v>
      </c>
      <c r="D54" s="69">
        <f ca="1">'Design Calculator'!G59</f>
        <v>4.9912624244628025</v>
      </c>
      <c r="E54" s="69">
        <f ca="1">'Design Calculator'!G60</f>
        <v>1.4889765059976743</v>
      </c>
      <c r="F54" s="69">
        <f ca="1">'Design Calculator'!G61</f>
        <v>0.87369384035738873</v>
      </c>
      <c r="G54" s="3"/>
      <c r="H54" s="25" t="s">
        <v>187</v>
      </c>
      <c r="I54" s="1"/>
      <c r="J54" s="1"/>
    </row>
    <row r="55" spans="1:10" ht="13.8" x14ac:dyDescent="0.3">
      <c r="B55" s="26" t="s">
        <v>553</v>
      </c>
      <c r="C55" s="1">
        <f ca="1">'Design Calculator'!G56</f>
        <v>175</v>
      </c>
      <c r="D55" s="72" t="s">
        <v>631</v>
      </c>
      <c r="E55" s="16"/>
      <c r="F55" s="16"/>
      <c r="G55" s="16"/>
      <c r="I55" s="1"/>
      <c r="J55" s="1"/>
    </row>
    <row r="56" spans="1:10" x14ac:dyDescent="0.25">
      <c r="C56" s="1"/>
      <c r="D56" s="16"/>
      <c r="E56" s="16"/>
      <c r="F56" s="16"/>
      <c r="G56" s="16"/>
      <c r="I56" s="1"/>
      <c r="J56" s="1"/>
    </row>
    <row r="57" spans="1:10" x14ac:dyDescent="0.25">
      <c r="B57" s="70" t="s">
        <v>363</v>
      </c>
      <c r="G57" s="163" t="s">
        <v>350</v>
      </c>
      <c r="J57" s="172"/>
    </row>
    <row r="58" spans="1:10" x14ac:dyDescent="0.25">
      <c r="B58" s="25" t="s">
        <v>173</v>
      </c>
      <c r="C58">
        <f>IF('Design Calculator'!F30="Power Limit", 'Design Calculator'!$F$84,'Design Calculator'!F97)</f>
        <v>0.24440000000000001</v>
      </c>
      <c r="D58" s="25" t="s">
        <v>8</v>
      </c>
      <c r="G58" s="25" t="s">
        <v>173</v>
      </c>
      <c r="H58">
        <f>Equations!G64</f>
        <v>180.59818786982245</v>
      </c>
      <c r="J58" s="66"/>
    </row>
    <row r="59" spans="1:10" x14ac:dyDescent="0.25">
      <c r="B59" s="25" t="s">
        <v>174</v>
      </c>
      <c r="C59">
        <f>VINMAX</f>
        <v>70</v>
      </c>
      <c r="D59" t="s">
        <v>86</v>
      </c>
      <c r="G59" s="25" t="s">
        <v>174</v>
      </c>
      <c r="H59">
        <f>VINMAX</f>
        <v>70</v>
      </c>
    </row>
    <row r="60" spans="1:10" x14ac:dyDescent="0.25">
      <c r="B60" s="25" t="s">
        <v>175</v>
      </c>
      <c r="C60">
        <f>IF(C58&lt;10, IF(C58&lt;1, 0.1, 1), IF(C58&lt;100, 10, 100))</f>
        <v>0.1</v>
      </c>
      <c r="D60" s="25" t="s">
        <v>8</v>
      </c>
      <c r="G60" s="25" t="s">
        <v>175</v>
      </c>
      <c r="H60">
        <f>IF(H58&lt;10, IF(H58&lt;1, 0.1, 1), IF(H58&lt;100, 10, 100))</f>
        <v>100</v>
      </c>
    </row>
    <row r="61" spans="1:10" x14ac:dyDescent="0.25">
      <c r="B61" s="25" t="s">
        <v>453</v>
      </c>
      <c r="C61">
        <f>SOA!C60</f>
        <v>0.1</v>
      </c>
      <c r="D61" s="25"/>
      <c r="G61" s="25" t="s">
        <v>453</v>
      </c>
      <c r="H61">
        <f>IF('Design Calculator'!H110="NA", MIN(SOA!H60,1),SOA!H60)</f>
        <v>100</v>
      </c>
    </row>
    <row r="62" spans="1:10" x14ac:dyDescent="0.25">
      <c r="B62" s="25" t="s">
        <v>176</v>
      </c>
      <c r="C62">
        <f>C60*10</f>
        <v>1</v>
      </c>
      <c r="D62" s="25" t="s">
        <v>8</v>
      </c>
      <c r="G62" s="25" t="s">
        <v>435</v>
      </c>
      <c r="H62">
        <f>H60*10</f>
        <v>1000</v>
      </c>
    </row>
    <row r="63" spans="1:10" x14ac:dyDescent="0.25">
      <c r="B63" s="25" t="s">
        <v>454</v>
      </c>
      <c r="C63">
        <f>SOA!C62</f>
        <v>1</v>
      </c>
      <c r="D63" s="25"/>
      <c r="G63" s="25" t="s">
        <v>454</v>
      </c>
      <c r="H63">
        <f>IF('Design Calculator'!H111="NA", MIN(SOA!H62,10),SOA!H62)</f>
        <v>1000</v>
      </c>
    </row>
    <row r="64" spans="1:10" x14ac:dyDescent="0.25">
      <c r="B64" s="25" t="s">
        <v>177</v>
      </c>
      <c r="C64">
        <f ca="1">IF(C60=0.01, B54, IF(C60=0.1, C54, IF(C60=1, D54, IF(C60=10,E54,F54))))</f>
        <v>37.376167055797616</v>
      </c>
      <c r="D64" s="25" t="s">
        <v>25</v>
      </c>
      <c r="G64" s="25" t="s">
        <v>177</v>
      </c>
      <c r="H64">
        <f ca="1">IF(H61=0.01, B54, IF(H61=0.1, C54, IF(H61=1, D54, IF(H61=10,E54,F54))))</f>
        <v>0.87369384035738873</v>
      </c>
    </row>
    <row r="65" spans="2:10" x14ac:dyDescent="0.25">
      <c r="B65" s="25" t="s">
        <v>178</v>
      </c>
      <c r="C65">
        <f ca="1">IF(C62=100, F54, IF(C62=10, E54, IF(C62=1, D54, IF(C62=0.1,C54,B54))))</f>
        <v>4.9912624244628025</v>
      </c>
      <c r="D65" s="25" t="s">
        <v>25</v>
      </c>
      <c r="G65" s="25" t="s">
        <v>178</v>
      </c>
      <c r="H65">
        <f ca="1">IF(H63=100, F54, IF(H63=10, E54, IF(H63=1, D54, IF(H63=0.1,C54,B54))))</f>
        <v>400</v>
      </c>
    </row>
    <row r="67" spans="2:10" x14ac:dyDescent="0.25">
      <c r="B67" s="25" t="s">
        <v>182</v>
      </c>
      <c r="G67" s="25" t="s">
        <v>182</v>
      </c>
    </row>
    <row r="68" spans="2:10" x14ac:dyDescent="0.25">
      <c r="B68" s="25" t="s">
        <v>179</v>
      </c>
      <c r="C68">
        <f ca="1">C64/C61^C69</f>
        <v>4.9912624244628025</v>
      </c>
      <c r="F68" s="25"/>
      <c r="G68" s="25" t="s">
        <v>179</v>
      </c>
      <c r="H68">
        <f ca="1">H64/H61^H69</f>
        <v>4.16828916082284E-6</v>
      </c>
    </row>
    <row r="69" spans="2:10" x14ac:dyDescent="0.25">
      <c r="B69" s="25" t="s">
        <v>180</v>
      </c>
      <c r="C69">
        <f ca="1">LOG(C64/C65)/LOG(C61/C63)</f>
        <v>-0.87438435794684766</v>
      </c>
      <c r="F69" s="25"/>
      <c r="G69" s="25" t="s">
        <v>180</v>
      </c>
      <c r="H69">
        <f ca="1">IF(H64=H65,0.000000000001,LOG(H64/H65)/LOG(H61/H63))</f>
        <v>2.660700717431729</v>
      </c>
      <c r="I69" s="25" t="s">
        <v>443</v>
      </c>
    </row>
    <row r="70" spans="2:10" x14ac:dyDescent="0.25">
      <c r="B70" s="25" t="s">
        <v>181</v>
      </c>
      <c r="C70">
        <f ca="1">C68*C58^C69</f>
        <v>17.109808243726388</v>
      </c>
      <c r="D70" s="25" t="s">
        <v>25</v>
      </c>
      <c r="G70" s="25" t="s">
        <v>181</v>
      </c>
      <c r="H70">
        <f ca="1">H68*H58^H69</f>
        <v>4.2111117870514994</v>
      </c>
    </row>
    <row r="72" spans="2:10" x14ac:dyDescent="0.25">
      <c r="B72" s="26" t="s">
        <v>183</v>
      </c>
      <c r="C72">
        <f ca="1" xml:space="preserve"> C70*C59</f>
        <v>1197.6865770608472</v>
      </c>
      <c r="D72" s="25"/>
      <c r="G72" s="26" t="s">
        <v>183</v>
      </c>
      <c r="H72">
        <f ca="1" xml:space="preserve"> H70*H59</f>
        <v>294.77782509360497</v>
      </c>
    </row>
    <row r="74" spans="2:10" x14ac:dyDescent="0.25">
      <c r="G74" s="25" t="s">
        <v>370</v>
      </c>
      <c r="H74" t="str">
        <f>'Design Calculator'!F86</f>
        <v>No</v>
      </c>
    </row>
    <row r="75" spans="2:10" x14ac:dyDescent="0.25">
      <c r="B75" s="66" t="s">
        <v>189</v>
      </c>
      <c r="C75">
        <f ca="1">(C55-TJDC2)/(C55-25)</f>
        <v>0.6702721088435375</v>
      </c>
      <c r="D75" s="16"/>
      <c r="E75" s="16"/>
      <c r="F75" s="16"/>
      <c r="G75" s="25" t="s">
        <v>369</v>
      </c>
      <c r="H75">
        <f>IF(H74="Yes", TJDC2,TAMB)</f>
        <v>50</v>
      </c>
    </row>
    <row r="76" spans="2:10" x14ac:dyDescent="0.25">
      <c r="B76" s="26" t="s">
        <v>184</v>
      </c>
      <c r="C76">
        <f ca="1">IF((C72*C75)&lt;0,0.000000001,C72*C75)</f>
        <v>802.77590774017199</v>
      </c>
      <c r="D76" s="72" t="s">
        <v>87</v>
      </c>
      <c r="E76" s="16"/>
      <c r="F76" s="16"/>
    </row>
    <row r="77" spans="2:10" x14ac:dyDescent="0.25">
      <c r="B77" s="1"/>
      <c r="C77" s="1"/>
      <c r="D77" s="16"/>
      <c r="E77" s="16"/>
      <c r="F77" s="16"/>
      <c r="G77" s="66" t="s">
        <v>189</v>
      </c>
      <c r="H77">
        <f ca="1">(C55-H75)/(C55-25)</f>
        <v>0.83333333333333337</v>
      </c>
    </row>
    <row r="78" spans="2:10" x14ac:dyDescent="0.25">
      <c r="B78" s="1"/>
      <c r="D78" s="16"/>
      <c r="E78" s="16"/>
      <c r="F78" s="16"/>
      <c r="G78" s="26" t="s">
        <v>184</v>
      </c>
      <c r="H78">
        <f ca="1">IF((H72*H77)&lt;0,0.000000001,H72*H77)</f>
        <v>245.64818757800415</v>
      </c>
    </row>
    <row r="79" spans="2:10" x14ac:dyDescent="0.25">
      <c r="B79" s="66" t="s">
        <v>397</v>
      </c>
      <c r="D79" s="16"/>
      <c r="E79" s="16"/>
      <c r="F79" s="16"/>
      <c r="I79" s="3"/>
      <c r="J79" s="3"/>
    </row>
    <row r="80" spans="2:10" x14ac:dyDescent="0.25">
      <c r="C80" s="172" t="s">
        <v>632</v>
      </c>
      <c r="D80" s="176" t="s">
        <v>398</v>
      </c>
      <c r="E80" s="176" t="s">
        <v>633</v>
      </c>
      <c r="F80" s="176" t="s">
        <v>634</v>
      </c>
      <c r="G80" s="16"/>
      <c r="I80" s="3"/>
      <c r="J80" s="3"/>
    </row>
    <row r="81" spans="2:7" x14ac:dyDescent="0.25">
      <c r="B81" s="66" t="s">
        <v>399</v>
      </c>
      <c r="C81" s="66">
        <v>0.01</v>
      </c>
      <c r="D81" s="1">
        <v>0.1</v>
      </c>
      <c r="E81" s="1">
        <v>1</v>
      </c>
      <c r="F81" s="1">
        <v>10</v>
      </c>
      <c r="G81" s="163"/>
    </row>
    <row r="82" spans="2:7" x14ac:dyDescent="0.25">
      <c r="B82" s="66" t="s">
        <v>400</v>
      </c>
      <c r="C82" s="1">
        <v>0.1</v>
      </c>
      <c r="D82" s="1">
        <v>1</v>
      </c>
      <c r="E82" s="1">
        <v>10</v>
      </c>
      <c r="F82" s="1">
        <v>100</v>
      </c>
      <c r="G82" s="26"/>
    </row>
    <row r="83" spans="2:7" x14ac:dyDescent="0.25">
      <c r="B83" s="66" t="s">
        <v>179</v>
      </c>
      <c r="C83" s="1">
        <f ca="1">B54/(C81^C84)</f>
        <v>3.49244465945723</v>
      </c>
      <c r="D83" s="1">
        <f ca="1">C54/(D81^D84)</f>
        <v>4.9912624244628025</v>
      </c>
      <c r="E83" s="1">
        <f ca="1">D54/(E81^E84)</f>
        <v>4.9912624244628025</v>
      </c>
      <c r="F83" s="1">
        <f ca="1">E54/(F81^F84)</f>
        <v>2.5375605652732385</v>
      </c>
      <c r="G83" s="25"/>
    </row>
    <row r="84" spans="2:7" x14ac:dyDescent="0.25">
      <c r="B84" s="66" t="s">
        <v>180</v>
      </c>
      <c r="C84" s="16">
        <f ca="1">LOG(B54/C54)/LOG(C81/C82)</f>
        <v>-1.0294652291130719</v>
      </c>
      <c r="D84" s="16">
        <f ca="1">LOG(C54/D54)/LOG(D81/D82)</f>
        <v>-0.87438435794684766</v>
      </c>
      <c r="E84" s="16">
        <f ca="1">IF('Design Calculator'!H111="NA", D84, LOG(D54/E54)/LOG(E81/E82))</f>
        <v>-0.52532255903169245</v>
      </c>
      <c r="F84" s="16">
        <f ca="1">IF('Design Calculator'!H111="NA",E84,LOG(E54/F54)/LOG(F81/F82))</f>
        <v>-0.23152857134011678</v>
      </c>
      <c r="G84" s="25"/>
    </row>
    <row r="85" spans="2:7" x14ac:dyDescent="0.25">
      <c r="E85" s="16"/>
      <c r="G85" s="25"/>
    </row>
    <row r="86" spans="2:7" x14ac:dyDescent="0.25">
      <c r="E86" s="16"/>
      <c r="G86" s="25"/>
    </row>
    <row r="87" spans="2:7" ht="13.8" thickBot="1" x14ac:dyDescent="0.3">
      <c r="B87" s="66" t="s">
        <v>636</v>
      </c>
      <c r="E87" s="16"/>
      <c r="G87" s="25"/>
    </row>
    <row r="88" spans="2:7" ht="13.8" thickBot="1" x14ac:dyDescent="0.3">
      <c r="B88" s="279" t="s">
        <v>637</v>
      </c>
      <c r="C88" s="280" t="s">
        <v>638</v>
      </c>
      <c r="E88" s="16"/>
      <c r="G88" s="25"/>
    </row>
    <row r="89" spans="2:7" x14ac:dyDescent="0.25">
      <c r="B89" s="277">
        <v>1</v>
      </c>
      <c r="C89" s="278">
        <f ca="1">$C$76/B89</f>
        <v>802.77590774017199</v>
      </c>
      <c r="E89" s="16"/>
    </row>
    <row r="90" spans="2:7" x14ac:dyDescent="0.25">
      <c r="B90" s="273">
        <v>1.2</v>
      </c>
      <c r="C90" s="278">
        <f t="shared" ref="C90:C94" ca="1" si="1">$C$76/B90</f>
        <v>668.97992311681003</v>
      </c>
      <c r="E90" s="16"/>
      <c r="G90" s="25"/>
    </row>
    <row r="91" spans="2:7" x14ac:dyDescent="0.25">
      <c r="B91" s="273">
        <v>30</v>
      </c>
      <c r="C91" s="278">
        <f t="shared" ca="1" si="1"/>
        <v>26.759196924672398</v>
      </c>
      <c r="E91" s="16"/>
    </row>
    <row r="92" spans="2:7" x14ac:dyDescent="0.25">
      <c r="B92" s="273">
        <v>60</v>
      </c>
      <c r="C92" s="278">
        <f t="shared" ca="1" si="1"/>
        <v>13.379598462336199</v>
      </c>
      <c r="E92" s="16"/>
      <c r="G92" s="25"/>
    </row>
    <row r="93" spans="2:7" x14ac:dyDescent="0.25">
      <c r="B93" s="273">
        <v>80</v>
      </c>
      <c r="C93" s="278">
        <f t="shared" ca="1" si="1"/>
        <v>10.03469884675215</v>
      </c>
      <c r="E93" s="16"/>
      <c r="G93" s="25"/>
    </row>
    <row r="94" spans="2:7" ht="13.8" thickBot="1" x14ac:dyDescent="0.3">
      <c r="B94" s="275">
        <v>100</v>
      </c>
      <c r="C94" s="276">
        <f t="shared" ca="1" si="1"/>
        <v>8.0277590774017202</v>
      </c>
      <c r="E94" s="16"/>
      <c r="G94" s="25"/>
    </row>
    <row r="98" spans="1:10" ht="24.6" x14ac:dyDescent="0.4">
      <c r="A98" s="272" t="s">
        <v>640</v>
      </c>
    </row>
    <row r="100" spans="1:10" x14ac:dyDescent="0.25">
      <c r="A100" s="67"/>
      <c r="B100" s="368" t="s">
        <v>168</v>
      </c>
      <c r="C100" s="368"/>
      <c r="D100" s="368"/>
      <c r="E100" s="368"/>
      <c r="F100" s="368"/>
      <c r="G100" s="1"/>
      <c r="H100" s="25" t="s">
        <v>188</v>
      </c>
    </row>
    <row r="101" spans="1:10" x14ac:dyDescent="0.25">
      <c r="A101" s="67"/>
      <c r="B101" s="68" t="s">
        <v>630</v>
      </c>
      <c r="C101" s="68" t="s">
        <v>224</v>
      </c>
      <c r="D101" s="68" t="s">
        <v>169</v>
      </c>
      <c r="E101" s="68" t="s">
        <v>170</v>
      </c>
      <c r="F101" s="68" t="s">
        <v>171</v>
      </c>
      <c r="G101" s="25"/>
      <c r="H101" s="25" t="s">
        <v>186</v>
      </c>
      <c r="I101" s="1"/>
      <c r="J101" s="1"/>
    </row>
    <row r="102" spans="1:10" x14ac:dyDescent="0.25">
      <c r="A102" s="68" t="s">
        <v>172</v>
      </c>
      <c r="B102" s="69">
        <f>'Design Calculator'!H57</f>
        <v>400</v>
      </c>
      <c r="C102" s="69">
        <f>'Design Calculator'!H58</f>
        <v>100</v>
      </c>
      <c r="D102" s="69">
        <f>'Design Calculator'!H59</f>
        <v>20</v>
      </c>
      <c r="E102" s="69">
        <f>'Design Calculator'!H60</f>
        <v>5</v>
      </c>
      <c r="F102" s="69">
        <f>'Design Calculator'!H61</f>
        <v>1</v>
      </c>
      <c r="G102" s="3"/>
      <c r="H102" s="25" t="s">
        <v>187</v>
      </c>
      <c r="I102" s="1"/>
      <c r="J102" s="1"/>
    </row>
    <row r="103" spans="1:10" ht="13.8" x14ac:dyDescent="0.3">
      <c r="B103" s="26" t="s">
        <v>553</v>
      </c>
      <c r="C103" s="1">
        <f>'Design Calculator'!H56</f>
        <v>175</v>
      </c>
      <c r="D103" s="72" t="s">
        <v>631</v>
      </c>
      <c r="E103" s="16"/>
      <c r="F103" s="16"/>
      <c r="G103" s="16"/>
      <c r="I103" s="1"/>
      <c r="J103" s="1"/>
    </row>
    <row r="104" spans="1:10" x14ac:dyDescent="0.25">
      <c r="C104" s="1"/>
      <c r="D104" s="16"/>
      <c r="E104" s="16"/>
      <c r="F104" s="16"/>
      <c r="G104" s="16"/>
      <c r="I104" s="1"/>
      <c r="J104" s="1"/>
    </row>
    <row r="105" spans="1:10" x14ac:dyDescent="0.25">
      <c r="B105" s="70" t="s">
        <v>363</v>
      </c>
      <c r="G105" s="163" t="s">
        <v>350</v>
      </c>
      <c r="J105" s="172"/>
    </row>
    <row r="106" spans="1:10" x14ac:dyDescent="0.25">
      <c r="B106" s="25" t="s">
        <v>173</v>
      </c>
      <c r="C106">
        <f>IF('Design Calculator'!F30="Power Limit", 'Design Calculator'!$F$84,'Design Calculator'!F97)</f>
        <v>0.24440000000000001</v>
      </c>
      <c r="D106" s="25" t="s">
        <v>8</v>
      </c>
      <c r="G106" s="25" t="s">
        <v>173</v>
      </c>
      <c r="H106">
        <f>Equations!H64</f>
        <v>180.59818786982245</v>
      </c>
      <c r="J106" s="66"/>
    </row>
    <row r="107" spans="1:10" x14ac:dyDescent="0.25">
      <c r="B107" s="25" t="s">
        <v>174</v>
      </c>
      <c r="C107">
        <f>VINMAX</f>
        <v>70</v>
      </c>
      <c r="D107" t="s">
        <v>86</v>
      </c>
      <c r="G107" s="25" t="s">
        <v>174</v>
      </c>
      <c r="H107">
        <f>VINMAX</f>
        <v>70</v>
      </c>
    </row>
    <row r="108" spans="1:10" x14ac:dyDescent="0.25">
      <c r="B108" s="25" t="s">
        <v>175</v>
      </c>
      <c r="C108">
        <f>IF(C106&lt;10, IF(C106&lt;1, 0.1, 1), IF(C106&lt;100, 10, 100))</f>
        <v>0.1</v>
      </c>
      <c r="D108" s="25" t="s">
        <v>8</v>
      </c>
      <c r="G108" s="25" t="s">
        <v>175</v>
      </c>
      <c r="H108">
        <f>IF(H106&lt;10, IF(H106&lt;1, 0.1, 1), IF(H106&lt;100, 10, 100))</f>
        <v>100</v>
      </c>
    </row>
    <row r="109" spans="1:10" x14ac:dyDescent="0.25">
      <c r="B109" s="25" t="s">
        <v>453</v>
      </c>
      <c r="C109">
        <f>SOA!C108</f>
        <v>0.1</v>
      </c>
      <c r="D109" s="25"/>
      <c r="G109" s="25" t="s">
        <v>453</v>
      </c>
      <c r="H109">
        <f>IF('Design Calculator'!J159="NA", MIN(SOA!H108,1),SOA!H108)</f>
        <v>100</v>
      </c>
    </row>
    <row r="110" spans="1:10" x14ac:dyDescent="0.25">
      <c r="B110" s="25" t="s">
        <v>176</v>
      </c>
      <c r="C110">
        <f>C108*10</f>
        <v>1</v>
      </c>
      <c r="D110" s="25" t="s">
        <v>8</v>
      </c>
      <c r="G110" s="25" t="s">
        <v>435</v>
      </c>
      <c r="H110">
        <f>H108*10</f>
        <v>1000</v>
      </c>
    </row>
    <row r="111" spans="1:10" x14ac:dyDescent="0.25">
      <c r="B111" s="25" t="s">
        <v>454</v>
      </c>
      <c r="C111">
        <f>SOA!C110</f>
        <v>1</v>
      </c>
      <c r="D111" s="25"/>
      <c r="G111" s="25" t="s">
        <v>454</v>
      </c>
      <c r="H111">
        <f>IF('Design Calculator'!J160="NA", MIN(SOA!H110,10),SOA!H110)</f>
        <v>1000</v>
      </c>
    </row>
    <row r="112" spans="1:10" x14ac:dyDescent="0.25">
      <c r="B112" s="25" t="s">
        <v>177</v>
      </c>
      <c r="C112">
        <f>IF(C108=0.01, B102, IF(C108=0.1, C102, IF(C108=1, D102, IF(C108=10,E102,F102))))</f>
        <v>100</v>
      </c>
      <c r="D112" s="25" t="s">
        <v>25</v>
      </c>
      <c r="G112" s="25" t="s">
        <v>177</v>
      </c>
      <c r="H112">
        <f>IF(H109=0.01, B102, IF(H109=0.1, C102, IF(H109=1, D102, IF(H109=10,E102,F102))))</f>
        <v>1</v>
      </c>
    </row>
    <row r="113" spans="2:10" x14ac:dyDescent="0.25">
      <c r="B113" s="25" t="s">
        <v>178</v>
      </c>
      <c r="C113">
        <f>IF(C110=100, F102, IF(C110=10, E102, IF(C110=1, D102, IF(C110=0.1,C102,B102))))</f>
        <v>20</v>
      </c>
      <c r="D113" s="25" t="s">
        <v>25</v>
      </c>
      <c r="G113" s="25" t="s">
        <v>178</v>
      </c>
      <c r="H113">
        <f>IF(H111=100, F102, IF(H111=10, E102, IF(H111=1, D102, IF(H111=0.1,C102,B102))))</f>
        <v>400</v>
      </c>
    </row>
    <row r="115" spans="2:10" x14ac:dyDescent="0.25">
      <c r="B115" s="25" t="s">
        <v>182</v>
      </c>
      <c r="G115" s="25" t="s">
        <v>182</v>
      </c>
    </row>
    <row r="116" spans="2:10" x14ac:dyDescent="0.25">
      <c r="B116" s="25" t="s">
        <v>179</v>
      </c>
      <c r="C116">
        <f>C112/C109^C117</f>
        <v>20</v>
      </c>
      <c r="F116" s="25"/>
      <c r="G116" s="25" t="s">
        <v>179</v>
      </c>
      <c r="H116">
        <f>H112/H109^H117</f>
        <v>6.2499999999999918E-6</v>
      </c>
    </row>
    <row r="117" spans="2:10" x14ac:dyDescent="0.25">
      <c r="B117" s="25" t="s">
        <v>180</v>
      </c>
      <c r="C117">
        <f>LOG(C112/C113)/LOG(C109/C111)</f>
        <v>-0.69897000433601886</v>
      </c>
      <c r="F117" s="25"/>
      <c r="G117" s="25" t="s">
        <v>180</v>
      </c>
      <c r="H117">
        <f>IF(H112=H113,0.000000000001,LOG(H112/H113)/LOG(H109/H111))</f>
        <v>2.6020599913279625</v>
      </c>
      <c r="I117" s="25" t="s">
        <v>443</v>
      </c>
    </row>
    <row r="118" spans="2:10" x14ac:dyDescent="0.25">
      <c r="B118" s="25" t="s">
        <v>181</v>
      </c>
      <c r="C118">
        <f>C116*C106^C117</f>
        <v>53.54623028902904</v>
      </c>
      <c r="D118" s="25" t="s">
        <v>25</v>
      </c>
      <c r="G118" s="25" t="s">
        <v>181</v>
      </c>
      <c r="H118">
        <f>H116*H106^H117</f>
        <v>4.655685517165832</v>
      </c>
    </row>
    <row r="120" spans="2:10" x14ac:dyDescent="0.25">
      <c r="B120" s="26" t="s">
        <v>183</v>
      </c>
      <c r="C120">
        <f xml:space="preserve"> C118*C107</f>
        <v>3748.2361202320326</v>
      </c>
      <c r="D120" s="25"/>
      <c r="G120" s="26" t="s">
        <v>183</v>
      </c>
      <c r="H120">
        <f xml:space="preserve"> H118*H107</f>
        <v>325.89798620160826</v>
      </c>
    </row>
    <row r="122" spans="2:10" x14ac:dyDescent="0.25">
      <c r="G122" s="25" t="s">
        <v>370</v>
      </c>
      <c r="H122" t="str">
        <f>'Design Calculator'!F86</f>
        <v>No</v>
      </c>
    </row>
    <row r="123" spans="2:10" x14ac:dyDescent="0.25">
      <c r="B123" s="66" t="s">
        <v>189</v>
      </c>
      <c r="C123">
        <f ca="1">(C103-TJDC3)/(C103-25)</f>
        <v>0.7</v>
      </c>
      <c r="D123" s="16"/>
      <c r="E123" s="16"/>
      <c r="F123" s="16"/>
      <c r="G123" s="25" t="s">
        <v>369</v>
      </c>
      <c r="H123">
        <f>IF(H122="Yes", TJDC3,TAMB)</f>
        <v>50</v>
      </c>
    </row>
    <row r="124" spans="2:10" x14ac:dyDescent="0.25">
      <c r="B124" s="26" t="s">
        <v>184</v>
      </c>
      <c r="C124">
        <f ca="1">IF((C120*C123)&lt;0,0.000000001,C120*C123)</f>
        <v>2623.7652841624226</v>
      </c>
      <c r="D124" s="72" t="s">
        <v>87</v>
      </c>
      <c r="E124" s="16"/>
      <c r="F124" s="16"/>
    </row>
    <row r="125" spans="2:10" x14ac:dyDescent="0.25">
      <c r="B125" s="1"/>
      <c r="C125" s="1"/>
      <c r="D125" s="16"/>
      <c r="E125" s="16"/>
      <c r="F125" s="16"/>
      <c r="G125" s="66" t="s">
        <v>189</v>
      </c>
      <c r="H125">
        <f>(C103-H123)/(C103-25)</f>
        <v>0.83333333333333337</v>
      </c>
    </row>
    <row r="126" spans="2:10" x14ac:dyDescent="0.25">
      <c r="B126" s="1"/>
      <c r="D126" s="16"/>
      <c r="E126" s="16"/>
      <c r="F126" s="16"/>
      <c r="G126" s="26" t="s">
        <v>184</v>
      </c>
      <c r="H126">
        <f>IF((H120*H125)&lt;0,0.000000001,H120*H125)</f>
        <v>271.58165516800688</v>
      </c>
    </row>
    <row r="127" spans="2:10" x14ac:dyDescent="0.25">
      <c r="B127" s="66" t="s">
        <v>397</v>
      </c>
      <c r="D127" s="16"/>
      <c r="E127" s="16"/>
      <c r="F127" s="16"/>
      <c r="I127" s="3"/>
      <c r="J127" s="3"/>
    </row>
    <row r="128" spans="2:10" x14ac:dyDescent="0.25">
      <c r="C128" s="172" t="s">
        <v>632</v>
      </c>
      <c r="D128" s="176" t="s">
        <v>398</v>
      </c>
      <c r="E128" s="176" t="s">
        <v>633</v>
      </c>
      <c r="F128" s="176" t="s">
        <v>634</v>
      </c>
      <c r="G128" s="16"/>
      <c r="I128" s="3"/>
      <c r="J128" s="3"/>
    </row>
    <row r="129" spans="2:7" x14ac:dyDescent="0.25">
      <c r="B129" s="66" t="s">
        <v>399</v>
      </c>
      <c r="C129" s="66">
        <v>0.01</v>
      </c>
      <c r="D129" s="1">
        <v>0.1</v>
      </c>
      <c r="E129" s="1">
        <v>1</v>
      </c>
      <c r="F129" s="1">
        <v>10</v>
      </c>
      <c r="G129" s="163"/>
    </row>
    <row r="130" spans="2:7" x14ac:dyDescent="0.25">
      <c r="B130" s="66" t="s">
        <v>400</v>
      </c>
      <c r="C130" s="1">
        <v>0.1</v>
      </c>
      <c r="D130" s="1">
        <v>1</v>
      </c>
      <c r="E130" s="1">
        <v>10</v>
      </c>
      <c r="F130" s="1">
        <v>100</v>
      </c>
      <c r="G130" s="26"/>
    </row>
    <row r="131" spans="2:7" x14ac:dyDescent="0.25">
      <c r="B131" s="66" t="s">
        <v>179</v>
      </c>
      <c r="C131" s="1">
        <f>B102/(C129^C132)</f>
        <v>25</v>
      </c>
      <c r="D131" s="1">
        <f>C102/(D129^D132)</f>
        <v>20</v>
      </c>
      <c r="E131" s="1">
        <f>D102/(E129^E132)</f>
        <v>20</v>
      </c>
      <c r="F131" s="1">
        <f>E102/(F129^F132)</f>
        <v>25.000000000000011</v>
      </c>
      <c r="G131" s="25"/>
    </row>
    <row r="132" spans="2:7" x14ac:dyDescent="0.25">
      <c r="B132" s="66" t="s">
        <v>180</v>
      </c>
      <c r="C132" s="16">
        <f>LOG(B102/C102)/LOG(C129/C130)</f>
        <v>-0.6020599913279624</v>
      </c>
      <c r="D132" s="16">
        <f>LOG(C102/D102)/LOG(D129/D130)</f>
        <v>-0.69897000433601886</v>
      </c>
      <c r="E132" s="16">
        <f>IF('Design Calculator'!J160="NA", D132, LOG(D102/E102)/LOG(E129/E130))</f>
        <v>-0.6020599913279624</v>
      </c>
      <c r="F132" s="16">
        <f>IF('Design Calculator'!J160="NA",E132,LOG(E102/F102)/LOG(F129/F130))</f>
        <v>-0.69897000433601886</v>
      </c>
      <c r="G132" s="25"/>
    </row>
    <row r="133" spans="2:7" x14ac:dyDescent="0.25">
      <c r="E133" s="16"/>
      <c r="G133" s="25"/>
    </row>
    <row r="134" spans="2:7" x14ac:dyDescent="0.25">
      <c r="E134" s="16"/>
      <c r="G134" s="25"/>
    </row>
    <row r="135" spans="2:7" ht="13.8" thickBot="1" x14ac:dyDescent="0.3">
      <c r="B135" s="66" t="s">
        <v>636</v>
      </c>
      <c r="E135" s="16"/>
      <c r="G135" s="25"/>
    </row>
    <row r="136" spans="2:7" ht="13.8" thickBot="1" x14ac:dyDescent="0.3">
      <c r="B136" s="279" t="s">
        <v>637</v>
      </c>
      <c r="C136" s="280" t="s">
        <v>638</v>
      </c>
      <c r="E136" s="16"/>
      <c r="G136" s="25"/>
    </row>
    <row r="137" spans="2:7" x14ac:dyDescent="0.25">
      <c r="B137" s="277">
        <v>1</v>
      </c>
      <c r="C137" s="278">
        <f ca="1">$C$124/B137</f>
        <v>2623.7652841624226</v>
      </c>
      <c r="E137" s="16"/>
    </row>
    <row r="138" spans="2:7" x14ac:dyDescent="0.25">
      <c r="B138" s="273">
        <v>1.2</v>
      </c>
      <c r="C138" s="278">
        <f t="shared" ref="C138:C142" ca="1" si="2">$C$124/B138</f>
        <v>2186.4710701353524</v>
      </c>
      <c r="E138" s="16"/>
      <c r="G138" s="25"/>
    </row>
    <row r="139" spans="2:7" x14ac:dyDescent="0.25">
      <c r="B139" s="273">
        <v>30</v>
      </c>
      <c r="C139" s="278">
        <f t="shared" ca="1" si="2"/>
        <v>87.458842805414093</v>
      </c>
      <c r="E139" s="16"/>
    </row>
    <row r="140" spans="2:7" x14ac:dyDescent="0.25">
      <c r="B140" s="273">
        <v>60</v>
      </c>
      <c r="C140" s="278">
        <f t="shared" ca="1" si="2"/>
        <v>43.729421402707047</v>
      </c>
      <c r="E140" s="16"/>
      <c r="G140" s="25"/>
    </row>
    <row r="141" spans="2:7" x14ac:dyDescent="0.25">
      <c r="B141" s="273">
        <v>80</v>
      </c>
      <c r="C141" s="278">
        <f t="shared" ca="1" si="2"/>
        <v>32.797066052030281</v>
      </c>
      <c r="E141" s="16"/>
      <c r="G141" s="25"/>
    </row>
    <row r="142" spans="2:7" ht="13.8" thickBot="1" x14ac:dyDescent="0.3">
      <c r="B142" s="275">
        <v>100</v>
      </c>
      <c r="C142" s="276">
        <f t="shared" ca="1" si="2"/>
        <v>26.237652841624225</v>
      </c>
      <c r="E142" s="16"/>
      <c r="G142" s="25"/>
    </row>
  </sheetData>
  <mergeCells count="5">
    <mergeCell ref="B100:F100"/>
    <mergeCell ref="N7:P7"/>
    <mergeCell ref="R7:T7"/>
    <mergeCell ref="B4:F4"/>
    <mergeCell ref="B52:F52"/>
  </mergeCells>
  <phoneticPr fontId="58" type="noConversion"/>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C5:Y158"/>
  <sheetViews>
    <sheetView zoomScale="70" zoomScaleNormal="70" workbookViewId="0">
      <selection activeCell="C2" sqref="C2"/>
    </sheetView>
  </sheetViews>
  <sheetFormatPr defaultRowHeight="13.2" x14ac:dyDescent="0.25"/>
  <cols>
    <col min="4" max="4" width="37.44140625" customWidth="1"/>
    <col min="5" max="5" width="15.77734375" customWidth="1"/>
    <col min="9" max="9" width="13.21875" customWidth="1"/>
    <col min="10" max="10" width="11.77734375" customWidth="1"/>
    <col min="11" max="11" width="11.44140625" customWidth="1"/>
    <col min="12" max="12" width="15" customWidth="1"/>
    <col min="13" max="13" width="13.77734375" customWidth="1"/>
  </cols>
  <sheetData>
    <row r="5" spans="3:4" x14ac:dyDescent="0.25">
      <c r="C5" s="25" t="s">
        <v>376</v>
      </c>
    </row>
    <row r="7" spans="3:4" x14ac:dyDescent="0.25">
      <c r="C7" s="25" t="s">
        <v>377</v>
      </c>
    </row>
    <row r="8" spans="3:4" x14ac:dyDescent="0.25">
      <c r="C8" s="25" t="s">
        <v>378</v>
      </c>
    </row>
    <row r="10" spans="3:4" x14ac:dyDescent="0.25">
      <c r="C10" s="25" t="s">
        <v>379</v>
      </c>
    </row>
    <row r="11" spans="3:4" x14ac:dyDescent="0.25">
      <c r="C11" s="25" t="s">
        <v>428</v>
      </c>
    </row>
    <row r="12" spans="3:4" x14ac:dyDescent="0.25">
      <c r="C12" s="25" t="s">
        <v>429</v>
      </c>
    </row>
    <row r="13" spans="3:4" x14ac:dyDescent="0.25">
      <c r="C13" s="25" t="s">
        <v>430</v>
      </c>
    </row>
    <row r="14" spans="3:4" x14ac:dyDescent="0.25">
      <c r="C14" s="25" t="s">
        <v>390</v>
      </c>
      <c r="D14" s="25" t="s">
        <v>391</v>
      </c>
    </row>
    <row r="15" spans="3:4" ht="12" customHeight="1" x14ac:dyDescent="0.25">
      <c r="C15" s="25"/>
      <c r="D15" s="25" t="s">
        <v>393</v>
      </c>
    </row>
    <row r="16" spans="3:4" ht="12" customHeight="1" x14ac:dyDescent="0.25">
      <c r="C16" s="25"/>
      <c r="D16" s="25"/>
    </row>
    <row r="17" spans="3:13" ht="30" customHeight="1" x14ac:dyDescent="0.4">
      <c r="C17" s="25"/>
      <c r="D17" s="272" t="s">
        <v>641</v>
      </c>
    </row>
    <row r="18" spans="3:13" ht="12" customHeight="1" x14ac:dyDescent="0.25">
      <c r="C18" s="25"/>
      <c r="D18" s="25"/>
    </row>
    <row r="19" spans="3:13" ht="12" customHeight="1" x14ac:dyDescent="0.3">
      <c r="C19" s="25"/>
      <c r="D19" s="70" t="s">
        <v>405</v>
      </c>
      <c r="I19" s="26" t="s">
        <v>553</v>
      </c>
      <c r="J19">
        <f ca="1">'Design Calculator'!F56</f>
        <v>175</v>
      </c>
      <c r="K19" s="25" t="s">
        <v>631</v>
      </c>
    </row>
    <row r="20" spans="3:13" x14ac:dyDescent="0.25">
      <c r="C20" s="25"/>
      <c r="D20" s="25" t="s">
        <v>403</v>
      </c>
      <c r="E20">
        <f>SOA!H27</f>
        <v>50</v>
      </c>
    </row>
    <row r="21" spans="3:13" x14ac:dyDescent="0.25">
      <c r="D21" s="25" t="s">
        <v>388</v>
      </c>
      <c r="E21">
        <v>1.5</v>
      </c>
      <c r="I21" s="66" t="s">
        <v>397</v>
      </c>
      <c r="K21" s="16"/>
      <c r="L21" s="16"/>
      <c r="M21" s="16"/>
    </row>
    <row r="22" spans="3:13" x14ac:dyDescent="0.25">
      <c r="D22" s="25" t="s">
        <v>380</v>
      </c>
      <c r="E22">
        <f>1/2*COUTMAX*VINMAX^2*0.000001</f>
        <v>539</v>
      </c>
      <c r="J22" s="70" t="s">
        <v>632</v>
      </c>
      <c r="K22" s="176" t="s">
        <v>398</v>
      </c>
      <c r="L22" s="176" t="s">
        <v>642</v>
      </c>
      <c r="M22" s="176" t="s">
        <v>634</v>
      </c>
    </row>
    <row r="23" spans="3:13" x14ac:dyDescent="0.25">
      <c r="D23" s="25" t="s">
        <v>382</v>
      </c>
      <c r="E23">
        <f>MAX(Equations!F62-E22,0)</f>
        <v>17.242418639053199</v>
      </c>
      <c r="I23" s="66" t="s">
        <v>399</v>
      </c>
      <c r="J23" s="66">
        <v>0.01</v>
      </c>
      <c r="K23" s="1">
        <v>0.1</v>
      </c>
      <c r="L23" s="1">
        <v>1</v>
      </c>
      <c r="M23" s="1">
        <v>10</v>
      </c>
    </row>
    <row r="24" spans="3:13" x14ac:dyDescent="0.25">
      <c r="D24" s="25" t="s">
        <v>383</v>
      </c>
      <c r="E24">
        <f>Equations!F61</f>
        <v>350</v>
      </c>
      <c r="I24" s="66" t="s">
        <v>400</v>
      </c>
      <c r="J24" s="1">
        <v>0.1</v>
      </c>
      <c r="K24" s="1">
        <v>1</v>
      </c>
      <c r="L24" s="1">
        <v>10</v>
      </c>
      <c r="M24" s="1">
        <v>100</v>
      </c>
    </row>
    <row r="25" spans="3:13" x14ac:dyDescent="0.25">
      <c r="I25" s="66" t="s">
        <v>179</v>
      </c>
      <c r="J25" s="1">
        <f ca="1">SOA!C35</f>
        <v>26.503617218223791</v>
      </c>
      <c r="K25" s="1">
        <f ca="1">SOA!D35</f>
        <v>9.392596137091429</v>
      </c>
      <c r="L25" s="1">
        <f ca="1">SOA!E35</f>
        <v>9.3925961370914308</v>
      </c>
      <c r="M25" s="1">
        <f ca="1">SOA!F35</f>
        <v>5.7281719495634524</v>
      </c>
    </row>
    <row r="26" spans="3:13" x14ac:dyDescent="0.25">
      <c r="D26" t="s">
        <v>185</v>
      </c>
      <c r="E26">
        <f>'Design Calculator'!F27</f>
        <v>40</v>
      </c>
      <c r="I26" s="66" t="s">
        <v>180</v>
      </c>
      <c r="J26" s="1">
        <f ca="1">SOA!C36</f>
        <v>-0.58937742038032037</v>
      </c>
      <c r="K26" s="1">
        <f ca="1">SOA!D36</f>
        <v>-1.0398969220065089</v>
      </c>
      <c r="L26" s="1">
        <f ca="1">SOA!E36</f>
        <v>-0.50701285930297757</v>
      </c>
      <c r="M26" s="1">
        <f ca="1">SOA!F36</f>
        <v>-0.29224325660747624</v>
      </c>
    </row>
    <row r="27" spans="3:13" x14ac:dyDescent="0.25">
      <c r="D27" t="s">
        <v>130</v>
      </c>
      <c r="E27" t="str">
        <f>'Design Calculator'!F28</f>
        <v>Constant Current</v>
      </c>
    </row>
    <row r="28" spans="3:13" x14ac:dyDescent="0.25">
      <c r="D28" t="s">
        <v>131</v>
      </c>
      <c r="E28">
        <f>'Design Calculator'!F29</f>
        <v>10</v>
      </c>
      <c r="I28" s="172" t="s">
        <v>416</v>
      </c>
      <c r="J28" s="70" t="s">
        <v>144</v>
      </c>
    </row>
    <row r="29" spans="3:13" x14ac:dyDescent="0.25">
      <c r="G29" t="s">
        <v>414</v>
      </c>
      <c r="I29" s="3">
        <f ca="1">SUM(E59:X59)</f>
        <v>0</v>
      </c>
      <c r="J29" s="3" t="str">
        <f ca="1">IF(I29=0, "NA", I29/AVERAGE(1, E33))</f>
        <v>NA</v>
      </c>
    </row>
    <row r="30" spans="3:13" x14ac:dyDescent="0.25">
      <c r="D30" s="25" t="s">
        <v>445</v>
      </c>
      <c r="E30">
        <f>12/1</f>
        <v>12</v>
      </c>
      <c r="G30" t="s">
        <v>415</v>
      </c>
      <c r="I30" s="3">
        <f ca="1">SUM(E60:X60)</f>
        <v>0</v>
      </c>
      <c r="J30" s="3" t="str">
        <f ca="1">IF(I30=0, "NA", I30*AVERAGE(1,E33))</f>
        <v>NA</v>
      </c>
    </row>
    <row r="31" spans="3:13" x14ac:dyDescent="0.25">
      <c r="D31" s="25" t="s">
        <v>446</v>
      </c>
      <c r="E31">
        <v>0.12</v>
      </c>
    </row>
    <row r="32" spans="3:13" x14ac:dyDescent="0.25">
      <c r="D32" s="25" t="s">
        <v>406</v>
      </c>
      <c r="E32">
        <v>20</v>
      </c>
    </row>
    <row r="33" spans="4:24" x14ac:dyDescent="0.25">
      <c r="D33" s="25" t="s">
        <v>407</v>
      </c>
      <c r="E33">
        <f>(E31/E30)^(1/(E32-1))</f>
        <v>0.78475997035146128</v>
      </c>
    </row>
    <row r="34" spans="4:24" x14ac:dyDescent="0.25">
      <c r="D34" s="25"/>
    </row>
    <row r="35" spans="4:24" x14ac:dyDescent="0.25">
      <c r="E35">
        <v>1</v>
      </c>
      <c r="F35">
        <v>2</v>
      </c>
      <c r="G35">
        <v>3</v>
      </c>
      <c r="H35">
        <v>4</v>
      </c>
      <c r="I35">
        <v>5</v>
      </c>
      <c r="J35">
        <v>6</v>
      </c>
      <c r="K35">
        <v>7</v>
      </c>
      <c r="L35">
        <v>8</v>
      </c>
      <c r="M35">
        <v>9</v>
      </c>
      <c r="N35">
        <v>10</v>
      </c>
      <c r="O35">
        <v>11</v>
      </c>
      <c r="P35">
        <v>12</v>
      </c>
      <c r="Q35">
        <v>13</v>
      </c>
      <c r="R35">
        <v>14</v>
      </c>
      <c r="S35">
        <v>15</v>
      </c>
      <c r="T35">
        <v>16</v>
      </c>
      <c r="U35">
        <v>17</v>
      </c>
      <c r="V35">
        <v>18</v>
      </c>
      <c r="W35">
        <v>19</v>
      </c>
      <c r="X35">
        <v>20</v>
      </c>
    </row>
    <row r="36" spans="4:24" x14ac:dyDescent="0.25">
      <c r="D36" s="175" t="s">
        <v>381</v>
      </c>
      <c r="E36" s="175">
        <f>E30</f>
        <v>12</v>
      </c>
      <c r="F36" s="175">
        <f>E36*$E$33</f>
        <v>9.4171196442175358</v>
      </c>
      <c r="G36" s="175">
        <f t="shared" ref="G36:X36" si="0">F36*$E$33</f>
        <v>7.3901785327923166</v>
      </c>
      <c r="H36" s="175">
        <f t="shared" si="0"/>
        <v>5.7995162862861038</v>
      </c>
      <c r="I36" s="175">
        <f t="shared" si="0"/>
        <v>4.5512282288787</v>
      </c>
      <c r="J36" s="175">
        <f t="shared" si="0"/>
        <v>3.5716217299575823</v>
      </c>
      <c r="K36" s="175">
        <f t="shared" si="0"/>
        <v>2.802865762908147</v>
      </c>
      <c r="L36" s="175">
        <f t="shared" si="0"/>
        <v>2.1995768529989235</v>
      </c>
      <c r="M36" s="175">
        <f t="shared" si="0"/>
        <v>1.7261398659451956</v>
      </c>
      <c r="N36" s="175">
        <f t="shared" si="0"/>
        <v>1.354605470021627</v>
      </c>
      <c r="O36" s="175">
        <f t="shared" si="0"/>
        <v>1.0630401484920993</v>
      </c>
      <c r="P36" s="175">
        <f t="shared" si="0"/>
        <v>0.83423135541307281</v>
      </c>
      <c r="Q36" s="175">
        <f t="shared" si="0"/>
        <v>0.65467137374022233</v>
      </c>
      <c r="R36" s="175">
        <f t="shared" si="0"/>
        <v>0.51375988784632731</v>
      </c>
      <c r="S36" s="175">
        <f t="shared" si="0"/>
        <v>0.40317819435405389</v>
      </c>
      <c r="T36" s="175">
        <f t="shared" si="0"/>
        <v>0.316398107847643</v>
      </c>
      <c r="U36" s="175">
        <f t="shared" si="0"/>
        <v>0.24829656973377476</v>
      </c>
      <c r="V36" s="175">
        <f t="shared" si="0"/>
        <v>0.19485320870264661</v>
      </c>
      <c r="W36" s="175">
        <f t="shared" si="0"/>
        <v>0.15291299828437604</v>
      </c>
      <c r="X36" s="175">
        <f t="shared" si="0"/>
        <v>0.12</v>
      </c>
    </row>
    <row r="37" spans="4:24" x14ac:dyDescent="0.25">
      <c r="D37" s="25" t="s">
        <v>384</v>
      </c>
      <c r="E37">
        <f t="shared" ref="E37:X37" si="1">VINMAX/E36</f>
        <v>5.833333333333333</v>
      </c>
      <c r="F37">
        <f t="shared" si="1"/>
        <v>7.4332707499349464</v>
      </c>
      <c r="G37">
        <f t="shared" si="1"/>
        <v>9.4720309786008769</v>
      </c>
      <c r="H37">
        <f t="shared" si="1"/>
        <v>12.069972139836272</v>
      </c>
      <c r="I37">
        <f t="shared" si="1"/>
        <v>15.380463575927088</v>
      </c>
      <c r="J37">
        <f t="shared" si="1"/>
        <v>19.59894000332206</v>
      </c>
      <c r="K37">
        <f t="shared" si="1"/>
        <v>24.974438992529794</v>
      </c>
      <c r="L37">
        <f t="shared" si="1"/>
        <v>31.824302890149688</v>
      </c>
      <c r="M37">
        <f t="shared" si="1"/>
        <v>40.552913110357693</v>
      </c>
      <c r="N37">
        <f t="shared" si="1"/>
        <v>51.675562773921484</v>
      </c>
      <c r="O37">
        <f t="shared" si="1"/>
        <v>65.848877014940186</v>
      </c>
      <c r="P37">
        <f t="shared" si="1"/>
        <v>83.90957681678033</v>
      </c>
      <c r="Q37">
        <f t="shared" si="1"/>
        <v>106.92387479855876</v>
      </c>
      <c r="R37">
        <f t="shared" si="1"/>
        <v>136.25041903025712</v>
      </c>
      <c r="S37">
        <f t="shared" si="1"/>
        <v>173.62050076182689</v>
      </c>
      <c r="T37">
        <f t="shared" si="1"/>
        <v>221.2402611260479</v>
      </c>
      <c r="U37">
        <f t="shared" si="1"/>
        <v>281.92093058335229</v>
      </c>
      <c r="V37">
        <f t="shared" si="1"/>
        <v>359.24478978851539</v>
      </c>
      <c r="W37">
        <f t="shared" si="1"/>
        <v>457.77664937168578</v>
      </c>
      <c r="X37">
        <f t="shared" si="1"/>
        <v>583.33333333333337</v>
      </c>
    </row>
    <row r="38" spans="4:24" x14ac:dyDescent="0.25">
      <c r="D38" s="25" t="s">
        <v>385</v>
      </c>
      <c r="E38">
        <f t="shared" ref="E38:X38" si="2">E36*COUTMAX/1000</f>
        <v>2640</v>
      </c>
      <c r="F38">
        <f t="shared" si="2"/>
        <v>2071.7663217278578</v>
      </c>
      <c r="G38">
        <f t="shared" si="2"/>
        <v>1625.8392772143097</v>
      </c>
      <c r="H38">
        <f t="shared" si="2"/>
        <v>1275.8935829829429</v>
      </c>
      <c r="I38">
        <f t="shared" si="2"/>
        <v>1001.270210353314</v>
      </c>
      <c r="J38">
        <f t="shared" si="2"/>
        <v>785.75678059066809</v>
      </c>
      <c r="K38">
        <f t="shared" si="2"/>
        <v>616.63046783979235</v>
      </c>
      <c r="L38">
        <f t="shared" si="2"/>
        <v>483.90690765976319</v>
      </c>
      <c r="M38">
        <f t="shared" si="2"/>
        <v>379.75077050794306</v>
      </c>
      <c r="N38">
        <f t="shared" si="2"/>
        <v>298.01320340475797</v>
      </c>
      <c r="O38">
        <f t="shared" si="2"/>
        <v>233.86883266826183</v>
      </c>
      <c r="P38">
        <f t="shared" si="2"/>
        <v>183.530898190876</v>
      </c>
      <c r="Q38">
        <f t="shared" si="2"/>
        <v>144.02770222284892</v>
      </c>
      <c r="R38">
        <f t="shared" si="2"/>
        <v>113.02717532619201</v>
      </c>
      <c r="S38">
        <f t="shared" si="2"/>
        <v>88.699202757891854</v>
      </c>
      <c r="T38">
        <f t="shared" si="2"/>
        <v>69.607583726481465</v>
      </c>
      <c r="U38">
        <f t="shared" si="2"/>
        <v>54.62524534143045</v>
      </c>
      <c r="V38">
        <f t="shared" si="2"/>
        <v>42.86770591458226</v>
      </c>
      <c r="W38">
        <f t="shared" si="2"/>
        <v>33.640859622562736</v>
      </c>
      <c r="X38">
        <f t="shared" si="2"/>
        <v>26.4</v>
      </c>
    </row>
    <row r="39" spans="4:24" x14ac:dyDescent="0.25">
      <c r="D39" s="25" t="s">
        <v>386</v>
      </c>
      <c r="E39">
        <f>$E$22+$E$23*E37/$E$24</f>
        <v>539.28737364398421</v>
      </c>
      <c r="F39">
        <f>$E$22+$E$23*F37/$E$24</f>
        <v>539.3661930460795</v>
      </c>
      <c r="G39">
        <f>$E$22+$E$23*G37/$E$24</f>
        <v>539.46663063855749</v>
      </c>
      <c r="H39">
        <f t="shared" ref="H39:J39" si="3">$E$22+$E$23*H37/$E$24</f>
        <v>539.59461575027649</v>
      </c>
      <c r="I39">
        <f t="shared" si="3"/>
        <v>539.75770397668236</v>
      </c>
      <c r="J39">
        <f t="shared" si="3"/>
        <v>539.96552322405421</v>
      </c>
      <c r="K39">
        <f>$E$22+$E$23*K37/$E$24</f>
        <v>540.23034209252774</v>
      </c>
      <c r="L39">
        <f t="shared" ref="L39:R39" si="4">$E$22+$E$23*L37/$E$24</f>
        <v>540.56779415236565</v>
      </c>
      <c r="M39">
        <f t="shared" si="4"/>
        <v>540.99780087109127</v>
      </c>
      <c r="N39">
        <f t="shared" si="4"/>
        <v>541.54574767644749</v>
      </c>
      <c r="O39">
        <f t="shared" si="4"/>
        <v>542.2439825840089</v>
      </c>
      <c r="P39">
        <f t="shared" si="4"/>
        <v>543.13372586085916</v>
      </c>
      <c r="Q39">
        <f t="shared" si="4"/>
        <v>544.26750346224708</v>
      </c>
      <c r="R39">
        <f t="shared" si="4"/>
        <v>545.71224789904602</v>
      </c>
      <c r="S39">
        <f t="shared" ref="S39:X39" si="5">$E$22+$E$23*S37/$E$24</f>
        <v>547.55324959559277</v>
      </c>
      <c r="T39">
        <f t="shared" si="5"/>
        <v>549.89919200613929</v>
      </c>
      <c r="U39">
        <f t="shared" si="5"/>
        <v>552.88856773779889</v>
      </c>
      <c r="V39">
        <f t="shared" si="5"/>
        <v>556.69785445552066</v>
      </c>
      <c r="W39">
        <f>$E$22+$E$23*W37/$E$24</f>
        <v>561.55193323328479</v>
      </c>
      <c r="X39">
        <f t="shared" si="5"/>
        <v>567.73736439842196</v>
      </c>
    </row>
    <row r="40" spans="4:24" x14ac:dyDescent="0.25">
      <c r="D40" s="25" t="s">
        <v>389</v>
      </c>
      <c r="E40">
        <f t="shared" ref="E40:X40" si="6">(E38+IF($E$27="Resistive",0,IF($E$26=0,$E$28,0)))*VINMAX</f>
        <v>184800</v>
      </c>
      <c r="F40">
        <f t="shared" si="6"/>
        <v>145023.64252095003</v>
      </c>
      <c r="G40">
        <f t="shared" si="6"/>
        <v>113808.74940500168</v>
      </c>
      <c r="H40">
        <f t="shared" si="6"/>
        <v>89312.550808806001</v>
      </c>
      <c r="I40">
        <f t="shared" si="6"/>
        <v>70088.914724731978</v>
      </c>
      <c r="J40">
        <f t="shared" si="6"/>
        <v>55002.974641346766</v>
      </c>
      <c r="K40">
        <f t="shared" si="6"/>
        <v>43164.132748785465</v>
      </c>
      <c r="L40">
        <f t="shared" si="6"/>
        <v>33873.483536183427</v>
      </c>
      <c r="M40">
        <f t="shared" si="6"/>
        <v>26582.553935556014</v>
      </c>
      <c r="N40">
        <f t="shared" si="6"/>
        <v>20860.924238333057</v>
      </c>
      <c r="O40">
        <f t="shared" si="6"/>
        <v>16370.818286778329</v>
      </c>
      <c r="P40">
        <f t="shared" si="6"/>
        <v>12847.16287336132</v>
      </c>
      <c r="Q40">
        <f t="shared" si="6"/>
        <v>10081.939155599424</v>
      </c>
      <c r="R40">
        <f t="shared" si="6"/>
        <v>7911.9022728334403</v>
      </c>
      <c r="S40">
        <f t="shared" si="6"/>
        <v>6208.9441930524299</v>
      </c>
      <c r="T40">
        <f t="shared" si="6"/>
        <v>4872.5308608537025</v>
      </c>
      <c r="U40">
        <f t="shared" si="6"/>
        <v>3823.7671739001316</v>
      </c>
      <c r="V40">
        <f t="shared" si="6"/>
        <v>3000.739414020758</v>
      </c>
      <c r="W40">
        <f t="shared" si="6"/>
        <v>2354.8601735793914</v>
      </c>
      <c r="X40">
        <f t="shared" si="6"/>
        <v>1848</v>
      </c>
    </row>
    <row r="41" spans="4:24" x14ac:dyDescent="0.25">
      <c r="D41" s="25" t="s">
        <v>387</v>
      </c>
      <c r="E41">
        <f t="shared" ref="E41:X41" si="7">(E38+IF($E$27="Resistive", $E$26/$E$28,$E$28)) *(VINMAX-$E$26)</f>
        <v>79500</v>
      </c>
      <c r="F41">
        <f t="shared" si="7"/>
        <v>62452.989651835735</v>
      </c>
      <c r="G41">
        <f t="shared" si="7"/>
        <v>49075.178316429294</v>
      </c>
      <c r="H41">
        <f t="shared" si="7"/>
        <v>38576.807489488288</v>
      </c>
      <c r="I41">
        <f t="shared" si="7"/>
        <v>30338.106310599422</v>
      </c>
      <c r="J41">
        <f t="shared" si="7"/>
        <v>23872.703417720044</v>
      </c>
      <c r="K41">
        <f t="shared" si="7"/>
        <v>18798.914035193771</v>
      </c>
      <c r="L41">
        <f t="shared" si="7"/>
        <v>14817.207229792895</v>
      </c>
      <c r="M41">
        <f t="shared" si="7"/>
        <v>11692.523115238291</v>
      </c>
      <c r="N41">
        <f t="shared" si="7"/>
        <v>9240.3961021427385</v>
      </c>
      <c r="O41">
        <f t="shared" si="7"/>
        <v>7316.064980047855</v>
      </c>
      <c r="P41">
        <f t="shared" si="7"/>
        <v>5805.9269457262799</v>
      </c>
      <c r="Q41">
        <f t="shared" si="7"/>
        <v>4620.8310666854677</v>
      </c>
      <c r="R41">
        <f t="shared" si="7"/>
        <v>3690.8152597857602</v>
      </c>
      <c r="S41">
        <f t="shared" si="7"/>
        <v>2960.9760827367554</v>
      </c>
      <c r="T41">
        <f t="shared" si="7"/>
        <v>2388.2275117944441</v>
      </c>
      <c r="U41">
        <f t="shared" si="7"/>
        <v>1938.7573602429138</v>
      </c>
      <c r="V41">
        <f t="shared" si="7"/>
        <v>1586.0311774374677</v>
      </c>
      <c r="W41">
        <f t="shared" si="7"/>
        <v>1309.2257886768821</v>
      </c>
      <c r="X41">
        <f t="shared" si="7"/>
        <v>1092</v>
      </c>
    </row>
    <row r="42" spans="4:24" x14ac:dyDescent="0.25">
      <c r="D42" s="25" t="s">
        <v>392</v>
      </c>
      <c r="E42">
        <f t="shared" ref="E42:X42" si="8">IF($E$27="Resistive", -$E$28*E38/2 + VINMAX/2, -1)</f>
        <v>-1</v>
      </c>
      <c r="F42">
        <f t="shared" si="8"/>
        <v>-1</v>
      </c>
      <c r="G42">
        <f t="shared" si="8"/>
        <v>-1</v>
      </c>
      <c r="H42">
        <f t="shared" si="8"/>
        <v>-1</v>
      </c>
      <c r="I42">
        <f t="shared" si="8"/>
        <v>-1</v>
      </c>
      <c r="J42">
        <f t="shared" si="8"/>
        <v>-1</v>
      </c>
      <c r="K42">
        <f t="shared" si="8"/>
        <v>-1</v>
      </c>
      <c r="L42">
        <f t="shared" si="8"/>
        <v>-1</v>
      </c>
      <c r="M42">
        <f t="shared" si="8"/>
        <v>-1</v>
      </c>
      <c r="N42">
        <f t="shared" si="8"/>
        <v>-1</v>
      </c>
      <c r="O42">
        <f t="shared" si="8"/>
        <v>-1</v>
      </c>
      <c r="P42">
        <f t="shared" si="8"/>
        <v>-1</v>
      </c>
      <c r="Q42">
        <f t="shared" si="8"/>
        <v>-1</v>
      </c>
      <c r="R42">
        <f t="shared" si="8"/>
        <v>-1</v>
      </c>
      <c r="S42">
        <f t="shared" si="8"/>
        <v>-1</v>
      </c>
      <c r="T42">
        <f t="shared" si="8"/>
        <v>-1</v>
      </c>
      <c r="U42">
        <f t="shared" si="8"/>
        <v>-1</v>
      </c>
      <c r="V42">
        <f t="shared" si="8"/>
        <v>-1</v>
      </c>
      <c r="W42">
        <f t="shared" si="8"/>
        <v>-1</v>
      </c>
      <c r="X42">
        <f t="shared" si="8"/>
        <v>-1</v>
      </c>
    </row>
    <row r="43" spans="4:24" x14ac:dyDescent="0.25">
      <c r="D43" s="25" t="s">
        <v>394</v>
      </c>
      <c r="E43">
        <f t="shared" ref="E43:X43" si="9">IF(AND(E42&lt;VINMAX, E42&gt;$E$26), (VINMAX-E42)*(E38+E42/$E$28), 0)</f>
        <v>0</v>
      </c>
      <c r="F43">
        <f t="shared" si="9"/>
        <v>0</v>
      </c>
      <c r="G43">
        <f t="shared" si="9"/>
        <v>0</v>
      </c>
      <c r="H43">
        <f t="shared" si="9"/>
        <v>0</v>
      </c>
      <c r="I43">
        <f t="shared" si="9"/>
        <v>0</v>
      </c>
      <c r="J43">
        <f t="shared" si="9"/>
        <v>0</v>
      </c>
      <c r="K43">
        <f t="shared" si="9"/>
        <v>0</v>
      </c>
      <c r="L43">
        <f t="shared" si="9"/>
        <v>0</v>
      </c>
      <c r="M43">
        <f t="shared" si="9"/>
        <v>0</v>
      </c>
      <c r="N43">
        <f t="shared" si="9"/>
        <v>0</v>
      </c>
      <c r="O43">
        <f t="shared" si="9"/>
        <v>0</v>
      </c>
      <c r="P43">
        <f t="shared" si="9"/>
        <v>0</v>
      </c>
      <c r="Q43">
        <f t="shared" si="9"/>
        <v>0</v>
      </c>
      <c r="R43">
        <f t="shared" si="9"/>
        <v>0</v>
      </c>
      <c r="S43">
        <f t="shared" si="9"/>
        <v>0</v>
      </c>
      <c r="T43">
        <f t="shared" si="9"/>
        <v>0</v>
      </c>
      <c r="U43">
        <f t="shared" si="9"/>
        <v>0</v>
      </c>
      <c r="V43">
        <f t="shared" si="9"/>
        <v>0</v>
      </c>
      <c r="W43">
        <f t="shared" si="9"/>
        <v>0</v>
      </c>
      <c r="X43">
        <f t="shared" si="9"/>
        <v>0</v>
      </c>
    </row>
    <row r="45" spans="4:24" x14ac:dyDescent="0.25">
      <c r="D45" s="25" t="s">
        <v>395</v>
      </c>
      <c r="E45">
        <f>MAX(E40,E41,E43)</f>
        <v>184800</v>
      </c>
      <c r="F45">
        <f>MAX(F40,F41,F43)</f>
        <v>145023.64252095003</v>
      </c>
      <c r="G45">
        <f>MAX(G40,G41,G43)</f>
        <v>113808.74940500168</v>
      </c>
      <c r="H45">
        <f t="shared" ref="H45:J45" si="10">MAX(H40,H41,H43)</f>
        <v>89312.550808806001</v>
      </c>
      <c r="I45">
        <f t="shared" si="10"/>
        <v>70088.914724731978</v>
      </c>
      <c r="J45">
        <f t="shared" si="10"/>
        <v>55002.974641346766</v>
      </c>
      <c r="K45">
        <f>MAX(K40,K41,K43)</f>
        <v>43164.132748785465</v>
      </c>
      <c r="L45">
        <f t="shared" ref="L45:R45" si="11">MAX(L40,L41,L43)</f>
        <v>33873.483536183427</v>
      </c>
      <c r="M45">
        <f t="shared" si="11"/>
        <v>26582.553935556014</v>
      </c>
      <c r="N45">
        <f t="shared" si="11"/>
        <v>20860.924238333057</v>
      </c>
      <c r="O45">
        <f t="shared" si="11"/>
        <v>16370.818286778329</v>
      </c>
      <c r="P45">
        <f t="shared" si="11"/>
        <v>12847.16287336132</v>
      </c>
      <c r="Q45">
        <f t="shared" si="11"/>
        <v>10081.939155599424</v>
      </c>
      <c r="R45">
        <f t="shared" si="11"/>
        <v>7911.9022728334403</v>
      </c>
      <c r="S45">
        <f t="shared" ref="S45:X45" si="12">MAX(S40,S41,S43)</f>
        <v>6208.9441930524299</v>
      </c>
      <c r="T45">
        <f t="shared" si="12"/>
        <v>4872.5308608537025</v>
      </c>
      <c r="U45">
        <f t="shared" si="12"/>
        <v>3823.7671739001316</v>
      </c>
      <c r="V45">
        <f t="shared" si="12"/>
        <v>3000.739414020758</v>
      </c>
      <c r="W45">
        <f t="shared" si="12"/>
        <v>2354.8601735793914</v>
      </c>
      <c r="X45">
        <f t="shared" si="12"/>
        <v>1848</v>
      </c>
    </row>
    <row r="46" spans="4:24" x14ac:dyDescent="0.25">
      <c r="D46" s="25" t="s">
        <v>396</v>
      </c>
      <c r="E46">
        <f>E39/E45*1000</f>
        <v>2.9182217188527284</v>
      </c>
      <c r="F46">
        <f>F39/F45*1000</f>
        <v>3.7191604325354257</v>
      </c>
      <c r="G46">
        <f>G39/G45*1000</f>
        <v>4.7401156190443912</v>
      </c>
      <c r="H46">
        <f t="shared" ref="H46:J46" si="13">H39/H45*1000</f>
        <v>6.0416437652240225</v>
      </c>
      <c r="I46">
        <f t="shared" si="13"/>
        <v>7.7010423987378473</v>
      </c>
      <c r="J46">
        <f t="shared" si="13"/>
        <v>9.8170240199727665</v>
      </c>
      <c r="K46">
        <f>K39/K45*1000</f>
        <v>12.51572330287879</v>
      </c>
      <c r="L46">
        <f t="shared" ref="L46" si="14">L39/L45*1000</f>
        <v>15.958435263232811</v>
      </c>
      <c r="M46">
        <f t="shared" ref="M46:N46" si="15">M39/M45*1000</f>
        <v>20.351611142504602</v>
      </c>
      <c r="N46">
        <f t="shared" si="15"/>
        <v>25.959815657703622</v>
      </c>
      <c r="O46">
        <f t="shared" ref="O46" si="16">O39/O45*1000</f>
        <v>33.122594917686243</v>
      </c>
      <c r="P46">
        <f t="shared" ref="P46" si="17">P39/P45*1000</f>
        <v>42.276550178020287</v>
      </c>
      <c r="Q46">
        <f t="shared" ref="Q46:R46" si="18">Q39/Q45*1000</f>
        <v>53.984406676364983</v>
      </c>
      <c r="R46">
        <f t="shared" si="18"/>
        <v>68.973582974200909</v>
      </c>
      <c r="S46">
        <f t="shared" ref="S46" si="19">S39/S45*1000</f>
        <v>88.187819469900191</v>
      </c>
      <c r="T46">
        <f t="shared" ref="T46:U46" si="20">T39/T45*1000</f>
        <v>112.85699520634601</v>
      </c>
      <c r="U46">
        <f t="shared" si="20"/>
        <v>144.59263406821617</v>
      </c>
      <c r="V46">
        <f t="shared" ref="V46" si="21">V39/V45*1000</f>
        <v>185.520226066411</v>
      </c>
      <c r="W46">
        <f t="shared" ref="W46" si="22">W39/W45*1000</f>
        <v>238.46508575484756</v>
      </c>
      <c r="X46">
        <f t="shared" ref="X46" si="23">X39/X45*1000</f>
        <v>307.21718852728463</v>
      </c>
    </row>
    <row r="48" spans="4:24" x14ac:dyDescent="0.25">
      <c r="D48" s="25" t="s">
        <v>179</v>
      </c>
      <c r="E48">
        <f ca="1">IF(E46&lt;$J$24,$J$25,IF(E46&lt;$K$24,$K$25,IF(E46&lt;$L$24,$L$25,$M$25)))</f>
        <v>9.3925961370914308</v>
      </c>
      <c r="F48">
        <f ca="1">IF(F46&lt;$J$24,$J$25,IF(F46&lt;$K$24,$K$25,IF(F46&lt;$L$24,$L$25,$M$25)))</f>
        <v>9.3925961370914308</v>
      </c>
      <c r="G48">
        <f ca="1">IF(G46&lt;$J$24,$J$25,IF(G46&lt;$K$24,$K$25,IF(G46&lt;$L$24,$L$25,$M$25)))</f>
        <v>9.3925961370914308</v>
      </c>
      <c r="H48">
        <f t="shared" ref="H48:I48" ca="1" si="24">IF(H46&lt;$J$24,$J$25,IF(H46&lt;$K$24,$K$25,IF(H46&lt;$L$24,$L$25,$M$25)))</f>
        <v>9.3925961370914308</v>
      </c>
      <c r="I48">
        <f t="shared" ca="1" si="24"/>
        <v>9.3925961370914308</v>
      </c>
      <c r="J48">
        <f ca="1">IF(J46&lt;$J$24,$J$25,IF(J46&lt;$K$24,$K$25,IF(J46&lt;$L$24,$L$25,$M$25)))</f>
        <v>9.3925961370914308</v>
      </c>
      <c r="K48">
        <f ca="1">IF(K46&lt;$J$24,$J$25,IF(K46&lt;$K$24,$K$25,IF(K46&lt;$L$24,$L$25,$M$25)))</f>
        <v>5.7281719495634524</v>
      </c>
      <c r="L48">
        <f t="shared" ref="L48:R48" ca="1" si="25">IF(L46&lt;$J$24,$J$25,IF(L46&lt;$K$24,$K$25,IF(L46&lt;$L$24,$L$25,$M$25)))</f>
        <v>5.7281719495634524</v>
      </c>
      <c r="M48">
        <f t="shared" ca="1" si="25"/>
        <v>5.7281719495634524</v>
      </c>
      <c r="N48">
        <f t="shared" ca="1" si="25"/>
        <v>5.7281719495634524</v>
      </c>
      <c r="O48">
        <f t="shared" ca="1" si="25"/>
        <v>5.7281719495634524</v>
      </c>
      <c r="P48">
        <f t="shared" ca="1" si="25"/>
        <v>5.7281719495634524</v>
      </c>
      <c r="Q48">
        <f t="shared" ca="1" si="25"/>
        <v>5.7281719495634524</v>
      </c>
      <c r="R48">
        <f t="shared" ca="1" si="25"/>
        <v>5.7281719495634524</v>
      </c>
      <c r="S48">
        <f t="shared" ref="S48:X48" ca="1" si="26">IF(S46&lt;$J$24,$J$25,IF(S46&lt;$K$24,$K$25,IF(S46&lt;$L$24,$L$25,$M$25)))</f>
        <v>5.7281719495634524</v>
      </c>
      <c r="T48">
        <f t="shared" ca="1" si="26"/>
        <v>5.7281719495634524</v>
      </c>
      <c r="U48">
        <f t="shared" ca="1" si="26"/>
        <v>5.7281719495634524</v>
      </c>
      <c r="V48">
        <f t="shared" ca="1" si="26"/>
        <v>5.7281719495634524</v>
      </c>
      <c r="W48">
        <f t="shared" ca="1" si="26"/>
        <v>5.7281719495634524</v>
      </c>
      <c r="X48">
        <f t="shared" ca="1" si="26"/>
        <v>5.7281719495634524</v>
      </c>
    </row>
    <row r="49" spans="4:25" x14ac:dyDescent="0.25">
      <c r="D49" s="25" t="s">
        <v>180</v>
      </c>
      <c r="E49">
        <f ca="1">IF(E46&lt;$J$24,$J$26,IF(E46&lt;$K$24,$K$26,IF(E46&lt;$L$24,$L$26,$M$26)))</f>
        <v>-0.50701285930297757</v>
      </c>
      <c r="F49">
        <f ca="1">IF(F46&lt;$J$24,$J$26,IF(F46&lt;$K$24,$K$26,IF(F46&lt;$L$24,$L$26,$M$26)))</f>
        <v>-0.50701285930297757</v>
      </c>
      <c r="G49">
        <f ca="1">IF(G46&lt;$J$24,$J$26,IF(G46&lt;$K$24,$K$26,IF(G46&lt;$L$24,$L$26,$M$26)))</f>
        <v>-0.50701285930297757</v>
      </c>
      <c r="H49">
        <f t="shared" ref="H49:J49" ca="1" si="27">IF(H46&lt;$J$24,$J$26,IF(H46&lt;$K$24,$K$26,IF(H46&lt;$L$24,$L$26,$M$26)))</f>
        <v>-0.50701285930297757</v>
      </c>
      <c r="I49">
        <f t="shared" ca="1" si="27"/>
        <v>-0.50701285930297757</v>
      </c>
      <c r="J49">
        <f t="shared" ca="1" si="27"/>
        <v>-0.50701285930297757</v>
      </c>
      <c r="K49">
        <f ca="1">IF(K46&lt;$J$24,$J$26,IF(K46&lt;$K$24,$K$26,IF(K46&lt;$L$24,$L$26,$M$26)))</f>
        <v>-0.29224325660747624</v>
      </c>
      <c r="L49">
        <f t="shared" ref="L49:R49" ca="1" si="28">IF(L46&lt;$J$24,$J$26,IF(L46&lt;$K$24,$K$26,IF(L46&lt;$L$24,$L$26,$M$26)))</f>
        <v>-0.29224325660747624</v>
      </c>
      <c r="M49">
        <f t="shared" ca="1" si="28"/>
        <v>-0.29224325660747624</v>
      </c>
      <c r="N49">
        <f t="shared" ca="1" si="28"/>
        <v>-0.29224325660747624</v>
      </c>
      <c r="O49">
        <f t="shared" ca="1" si="28"/>
        <v>-0.29224325660747624</v>
      </c>
      <c r="P49">
        <f t="shared" ca="1" si="28"/>
        <v>-0.29224325660747624</v>
      </c>
      <c r="Q49">
        <f t="shared" ca="1" si="28"/>
        <v>-0.29224325660747624</v>
      </c>
      <c r="R49">
        <f t="shared" ca="1" si="28"/>
        <v>-0.29224325660747624</v>
      </c>
      <c r="S49">
        <f t="shared" ref="S49:X49" ca="1" si="29">IF(S46&lt;$J$24,$J$26,IF(S46&lt;$K$24,$K$26,IF(S46&lt;$L$24,$L$26,$M$26)))</f>
        <v>-0.29224325660747624</v>
      </c>
      <c r="T49">
        <f t="shared" ca="1" si="29"/>
        <v>-0.29224325660747624</v>
      </c>
      <c r="U49">
        <f t="shared" ca="1" si="29"/>
        <v>-0.29224325660747624</v>
      </c>
      <c r="V49">
        <f t="shared" ca="1" si="29"/>
        <v>-0.29224325660747624</v>
      </c>
      <c r="W49">
        <f t="shared" ca="1" si="29"/>
        <v>-0.29224325660747624</v>
      </c>
      <c r="X49">
        <f t="shared" ca="1" si="29"/>
        <v>-0.29224325660747624</v>
      </c>
    </row>
    <row r="51" spans="4:25" x14ac:dyDescent="0.25">
      <c r="D51" s="25" t="s">
        <v>401</v>
      </c>
      <c r="E51">
        <f t="shared" ref="E51:X51" ca="1" si="30">E48*E46^E49*VINMAX</f>
        <v>381.99944961108457</v>
      </c>
      <c r="F51">
        <f t="shared" ca="1" si="30"/>
        <v>337.80088468321293</v>
      </c>
      <c r="G51">
        <f t="shared" ca="1" si="30"/>
        <v>298.71016983019797</v>
      </c>
      <c r="H51">
        <f t="shared" ca="1" si="30"/>
        <v>264.13624581848819</v>
      </c>
      <c r="I51">
        <f t="shared" ca="1" si="30"/>
        <v>233.55635280261919</v>
      </c>
      <c r="J51">
        <f ca="1">J48*J46^J49*VINMAX</f>
        <v>206.50812665936718</v>
      </c>
      <c r="K51">
        <f t="shared" ca="1" si="30"/>
        <v>191.59756462482497</v>
      </c>
      <c r="L51">
        <f t="shared" ca="1" si="30"/>
        <v>178.46303789489849</v>
      </c>
      <c r="M51">
        <f t="shared" ca="1" si="30"/>
        <v>166.22062560190687</v>
      </c>
      <c r="N51">
        <f t="shared" ca="1" si="30"/>
        <v>154.80820663953889</v>
      </c>
      <c r="O51">
        <f t="shared" ca="1" si="30"/>
        <v>144.16770825586909</v>
      </c>
      <c r="P51">
        <f t="shared" ca="1" si="30"/>
        <v>134.24479647465509</v>
      </c>
      <c r="Q51">
        <f t="shared" ca="1" si="30"/>
        <v>124.9885838518281</v>
      </c>
      <c r="R51">
        <f t="shared" ca="1" si="30"/>
        <v>116.35135376994815</v>
      </c>
      <c r="S51">
        <f t="shared" ca="1" si="30"/>
        <v>108.28830110542363</v>
      </c>
      <c r="T51">
        <f t="shared" ca="1" si="30"/>
        <v>100.75729000491052</v>
      </c>
      <c r="U51">
        <f t="shared" ca="1" si="30"/>
        <v>93.718630778192448</v>
      </c>
      <c r="V51">
        <f t="shared" ca="1" si="30"/>
        <v>87.134879664926387</v>
      </c>
      <c r="W51">
        <f ca="1">W48*W46^W49*VINMAX</f>
        <v>80.970667557366781</v>
      </c>
      <c r="X51">
        <f t="shared" ca="1" si="30"/>
        <v>75.192566687546091</v>
      </c>
    </row>
    <row r="52" spans="4:25" x14ac:dyDescent="0.25">
      <c r="D52" s="25" t="s">
        <v>402</v>
      </c>
      <c r="E52">
        <f ca="1">E51*($J$19-$E$20)/($J$19 - 25)</f>
        <v>318.33287467590384</v>
      </c>
      <c r="F52">
        <f t="shared" ref="F52:X52" ca="1" si="31">F51*($J$19-$E$20)/($J$19 - 25)</f>
        <v>281.50073723601076</v>
      </c>
      <c r="G52">
        <f t="shared" ca="1" si="31"/>
        <v>248.925141525165</v>
      </c>
      <c r="H52">
        <f t="shared" ca="1" si="31"/>
        <v>220.11353818207348</v>
      </c>
      <c r="I52">
        <f t="shared" ca="1" si="31"/>
        <v>194.63029400218267</v>
      </c>
      <c r="J52">
        <f t="shared" ca="1" si="31"/>
        <v>172.09010554947264</v>
      </c>
      <c r="K52">
        <f t="shared" ca="1" si="31"/>
        <v>159.66463718735415</v>
      </c>
      <c r="L52">
        <f t="shared" ca="1" si="31"/>
        <v>148.71919824574874</v>
      </c>
      <c r="M52">
        <f t="shared" ca="1" si="31"/>
        <v>138.51718800158906</v>
      </c>
      <c r="N52">
        <f t="shared" ca="1" si="31"/>
        <v>129.00683886628241</v>
      </c>
      <c r="O52">
        <f t="shared" ca="1" si="31"/>
        <v>120.1397568798909</v>
      </c>
      <c r="P52">
        <f t="shared" ca="1" si="31"/>
        <v>111.87066372887925</v>
      </c>
      <c r="Q52">
        <f t="shared" ca="1" si="31"/>
        <v>104.15715320985674</v>
      </c>
      <c r="R52">
        <f t="shared" ca="1" si="31"/>
        <v>96.959461474956797</v>
      </c>
      <c r="S52">
        <f t="shared" ca="1" si="31"/>
        <v>90.240250921186359</v>
      </c>
      <c r="T52">
        <f t="shared" ca="1" si="31"/>
        <v>83.964408337425439</v>
      </c>
      <c r="U52">
        <f t="shared" ca="1" si="31"/>
        <v>78.09885898182705</v>
      </c>
      <c r="V52">
        <f t="shared" ca="1" si="31"/>
        <v>72.61239972077199</v>
      </c>
      <c r="W52">
        <f t="shared" ca="1" si="31"/>
        <v>67.475556297805639</v>
      </c>
      <c r="X52">
        <f t="shared" ca="1" si="31"/>
        <v>62.66047223962174</v>
      </c>
    </row>
    <row r="53" spans="4:25" x14ac:dyDescent="0.25">
      <c r="D53" s="25" t="s">
        <v>404</v>
      </c>
      <c r="E53">
        <f ca="1">E52/E45</f>
        <v>1.7225804906704754E-3</v>
      </c>
      <c r="F53">
        <f ca="1">F52/F45</f>
        <v>1.9410678999828965E-3</v>
      </c>
      <c r="G53">
        <f ca="1">G52/G45</f>
        <v>2.1872232392198239E-3</v>
      </c>
      <c r="H53">
        <f t="shared" ref="H53:J53" ca="1" si="32">H52/H45</f>
        <v>2.4645308659168967E-3</v>
      </c>
      <c r="I53">
        <f t="shared" ca="1" si="32"/>
        <v>2.7769055173214761E-3</v>
      </c>
      <c r="J53">
        <f t="shared" ca="1" si="32"/>
        <v>3.1287417939048932E-3</v>
      </c>
      <c r="K53">
        <f ca="1">K52/K45</f>
        <v>3.6990118188311503E-3</v>
      </c>
      <c r="L53">
        <f t="shared" ref="L53" ca="1" si="33">L52/L45</f>
        <v>4.3904311786205248E-3</v>
      </c>
      <c r="M53">
        <f t="shared" ref="M53:N53" ca="1" si="34">M52/M45</f>
        <v>5.2108306951015983E-3</v>
      </c>
      <c r="N53">
        <f t="shared" ca="1" si="34"/>
        <v>6.184138219016466E-3</v>
      </c>
      <c r="O53">
        <f t="shared" ref="O53" ca="1" si="35">O52/O45</f>
        <v>7.3386531311583954E-3</v>
      </c>
      <c r="P53">
        <f t="shared" ref="P53" ca="1" si="36">P52/P45</f>
        <v>8.7078108086294948E-3</v>
      </c>
      <c r="Q53">
        <f t="shared" ref="Q53:R53" ca="1" si="37">Q52/Q45</f>
        <v>1.033106345935531E-2</v>
      </c>
      <c r="R53">
        <f t="shared" ca="1" si="37"/>
        <v>1.2254886136281017E-2</v>
      </c>
      <c r="S53">
        <f t="shared" ref="S53" ca="1" si="38">S52/S45</f>
        <v>1.4533912387578186E-2</v>
      </c>
      <c r="T53">
        <f t="shared" ref="T53:U53" ca="1" si="39">T52/T45</f>
        <v>1.7232196313419403E-2</v>
      </c>
      <c r="U53">
        <f t="shared" ca="1" si="39"/>
        <v>2.0424585344763154E-2</v>
      </c>
      <c r="V53">
        <f t="shared" ref="V53" ca="1" si="40">V52/V45</f>
        <v>2.4198169085091266E-2</v>
      </c>
      <c r="W53">
        <f t="shared" ref="W53" ca="1" si="41">W52/W45</f>
        <v>2.8653742185992589E-2</v>
      </c>
      <c r="X53">
        <f t="shared" ref="X53" ca="1" si="42">X52/X45</f>
        <v>3.3907181947847261E-2</v>
      </c>
    </row>
    <row r="55" spans="4:25" x14ac:dyDescent="0.25">
      <c r="D55" s="25" t="s">
        <v>408</v>
      </c>
      <c r="E55" t="str">
        <f ca="1">IF(E53&gt;$E$21, "Y", "N")</f>
        <v>N</v>
      </c>
      <c r="F55" t="str">
        <f t="shared" ref="F55:X55" ca="1" si="43">IF(F53&gt;$E$21, "Y", "N")</f>
        <v>N</v>
      </c>
      <c r="G55" t="str">
        <f t="shared" ca="1" si="43"/>
        <v>N</v>
      </c>
      <c r="H55" t="str">
        <f t="shared" ca="1" si="43"/>
        <v>N</v>
      </c>
      <c r="I55" t="str">
        <f t="shared" ca="1" si="43"/>
        <v>N</v>
      </c>
      <c r="J55" t="str">
        <f t="shared" ca="1" si="43"/>
        <v>N</v>
      </c>
      <c r="K55" t="str">
        <f t="shared" ca="1" si="43"/>
        <v>N</v>
      </c>
      <c r="L55" t="str">
        <f t="shared" ca="1" si="43"/>
        <v>N</v>
      </c>
      <c r="M55" t="str">
        <f t="shared" ca="1" si="43"/>
        <v>N</v>
      </c>
      <c r="N55" t="str">
        <f t="shared" ca="1" si="43"/>
        <v>N</v>
      </c>
      <c r="O55" t="str">
        <f t="shared" ca="1" si="43"/>
        <v>N</v>
      </c>
      <c r="P55" t="str">
        <f t="shared" ca="1" si="43"/>
        <v>N</v>
      </c>
      <c r="Q55" t="str">
        <f t="shared" ca="1" si="43"/>
        <v>N</v>
      </c>
      <c r="R55" t="str">
        <f t="shared" ca="1" si="43"/>
        <v>N</v>
      </c>
      <c r="S55" t="str">
        <f t="shared" ca="1" si="43"/>
        <v>N</v>
      </c>
      <c r="T55" t="str">
        <f t="shared" ca="1" si="43"/>
        <v>N</v>
      </c>
      <c r="U55" t="str">
        <f t="shared" ca="1" si="43"/>
        <v>N</v>
      </c>
      <c r="V55" t="str">
        <f t="shared" ca="1" si="43"/>
        <v>N</v>
      </c>
      <c r="W55" t="str">
        <f t="shared" ca="1" si="43"/>
        <v>N</v>
      </c>
      <c r="X55" t="str">
        <f t="shared" ca="1" si="43"/>
        <v>N</v>
      </c>
      <c r="Y55" t="s">
        <v>411</v>
      </c>
    </row>
    <row r="56" spans="4:25" x14ac:dyDescent="0.25">
      <c r="D56" s="25" t="s">
        <v>409</v>
      </c>
      <c r="E56">
        <f ca="1">IF(E55="Y", 1, 0)</f>
        <v>0</v>
      </c>
      <c r="F56">
        <f ca="1">IF(AND(F55="Y", E55="N"),  1, 0)</f>
        <v>0</v>
      </c>
      <c r="G56">
        <f t="shared" ref="G56:X56" ca="1" si="44">IF(AND(G55="Y", F55="N"),  1, 0)</f>
        <v>0</v>
      </c>
      <c r="H56">
        <f t="shared" ca="1" si="44"/>
        <v>0</v>
      </c>
      <c r="I56">
        <f t="shared" ca="1" si="44"/>
        <v>0</v>
      </c>
      <c r="J56">
        <f t="shared" ca="1" si="44"/>
        <v>0</v>
      </c>
      <c r="K56">
        <f t="shared" ca="1" si="44"/>
        <v>0</v>
      </c>
      <c r="L56">
        <f t="shared" ca="1" si="44"/>
        <v>0</v>
      </c>
      <c r="M56">
        <f t="shared" ca="1" si="44"/>
        <v>0</v>
      </c>
      <c r="N56">
        <f t="shared" ca="1" si="44"/>
        <v>0</v>
      </c>
      <c r="O56">
        <f t="shared" ca="1" si="44"/>
        <v>0</v>
      </c>
      <c r="P56">
        <f t="shared" ca="1" si="44"/>
        <v>0</v>
      </c>
      <c r="Q56">
        <f t="shared" ca="1" si="44"/>
        <v>0</v>
      </c>
      <c r="R56">
        <f t="shared" ca="1" si="44"/>
        <v>0</v>
      </c>
      <c r="S56">
        <f t="shared" ca="1" si="44"/>
        <v>0</v>
      </c>
      <c r="T56">
        <f t="shared" ca="1" si="44"/>
        <v>0</v>
      </c>
      <c r="U56">
        <f t="shared" ca="1" si="44"/>
        <v>0</v>
      </c>
      <c r="V56">
        <f t="shared" ca="1" si="44"/>
        <v>0</v>
      </c>
      <c r="W56">
        <f t="shared" ca="1" si="44"/>
        <v>0</v>
      </c>
      <c r="X56">
        <f t="shared" ca="1" si="44"/>
        <v>0</v>
      </c>
    </row>
    <row r="57" spans="4:25" x14ac:dyDescent="0.25">
      <c r="D57" s="25" t="s">
        <v>410</v>
      </c>
      <c r="E57">
        <v>0</v>
      </c>
      <c r="F57">
        <f ca="1">IF(AND(F55="Y", G55="N"),  1, 0)</f>
        <v>0</v>
      </c>
      <c r="G57">
        <f t="shared" ref="G57:X57" ca="1" si="45">IF(AND(G55="Y", H55="N"),  1, 0)</f>
        <v>0</v>
      </c>
      <c r="H57">
        <f t="shared" ca="1" si="45"/>
        <v>0</v>
      </c>
      <c r="I57">
        <f t="shared" ca="1" si="45"/>
        <v>0</v>
      </c>
      <c r="J57">
        <f t="shared" ca="1" si="45"/>
        <v>0</v>
      </c>
      <c r="K57">
        <f t="shared" ca="1" si="45"/>
        <v>0</v>
      </c>
      <c r="L57">
        <f t="shared" ca="1" si="45"/>
        <v>0</v>
      </c>
      <c r="M57">
        <f t="shared" ca="1" si="45"/>
        <v>0</v>
      </c>
      <c r="N57">
        <f t="shared" ca="1" si="45"/>
        <v>0</v>
      </c>
      <c r="O57">
        <f t="shared" ca="1" si="45"/>
        <v>0</v>
      </c>
      <c r="P57">
        <f t="shared" ca="1" si="45"/>
        <v>0</v>
      </c>
      <c r="Q57">
        <f t="shared" ca="1" si="45"/>
        <v>0</v>
      </c>
      <c r="R57">
        <f t="shared" ca="1" si="45"/>
        <v>0</v>
      </c>
      <c r="S57">
        <f t="shared" ca="1" si="45"/>
        <v>0</v>
      </c>
      <c r="T57">
        <f t="shared" ca="1" si="45"/>
        <v>0</v>
      </c>
      <c r="U57">
        <f t="shared" ca="1" si="45"/>
        <v>0</v>
      </c>
      <c r="V57">
        <f t="shared" ca="1" si="45"/>
        <v>0</v>
      </c>
      <c r="W57">
        <f t="shared" ca="1" si="45"/>
        <v>0</v>
      </c>
      <c r="X57">
        <f t="shared" ca="1" si="45"/>
        <v>0</v>
      </c>
    </row>
    <row r="59" spans="4:25" x14ac:dyDescent="0.25">
      <c r="D59" t="s">
        <v>412</v>
      </c>
      <c r="E59">
        <f ca="1">E56*E36</f>
        <v>0</v>
      </c>
      <c r="F59">
        <f t="shared" ref="F59:X59" ca="1" si="46">F56*F36</f>
        <v>0</v>
      </c>
      <c r="G59">
        <f t="shared" ca="1" si="46"/>
        <v>0</v>
      </c>
      <c r="H59">
        <f t="shared" ca="1" si="46"/>
        <v>0</v>
      </c>
      <c r="I59">
        <f t="shared" ca="1" si="46"/>
        <v>0</v>
      </c>
      <c r="J59">
        <f t="shared" ca="1" si="46"/>
        <v>0</v>
      </c>
      <c r="K59">
        <f t="shared" ca="1" si="46"/>
        <v>0</v>
      </c>
      <c r="L59">
        <f t="shared" ca="1" si="46"/>
        <v>0</v>
      </c>
      <c r="M59">
        <f t="shared" ca="1" si="46"/>
        <v>0</v>
      </c>
      <c r="N59">
        <f t="shared" ca="1" si="46"/>
        <v>0</v>
      </c>
      <c r="O59">
        <f t="shared" ca="1" si="46"/>
        <v>0</v>
      </c>
      <c r="P59">
        <f t="shared" ca="1" si="46"/>
        <v>0</v>
      </c>
      <c r="Q59">
        <f t="shared" ca="1" si="46"/>
        <v>0</v>
      </c>
      <c r="R59">
        <f t="shared" ca="1" si="46"/>
        <v>0</v>
      </c>
      <c r="S59">
        <f t="shared" ca="1" si="46"/>
        <v>0</v>
      </c>
      <c r="T59">
        <f t="shared" ca="1" si="46"/>
        <v>0</v>
      </c>
      <c r="U59">
        <f t="shared" ca="1" si="46"/>
        <v>0</v>
      </c>
      <c r="V59">
        <f t="shared" ca="1" si="46"/>
        <v>0</v>
      </c>
      <c r="W59">
        <f t="shared" ca="1" si="46"/>
        <v>0</v>
      </c>
      <c r="X59">
        <f t="shared" ca="1" si="46"/>
        <v>0</v>
      </c>
    </row>
    <row r="60" spans="4:25" x14ac:dyDescent="0.25">
      <c r="D60" t="s">
        <v>413</v>
      </c>
      <c r="E60">
        <f>E36*E57</f>
        <v>0</v>
      </c>
      <c r="F60">
        <f t="shared" ref="F60:X60" ca="1" si="47">F36*F57</f>
        <v>0</v>
      </c>
      <c r="G60">
        <f t="shared" ca="1" si="47"/>
        <v>0</v>
      </c>
      <c r="H60">
        <f t="shared" ca="1" si="47"/>
        <v>0</v>
      </c>
      <c r="I60">
        <f t="shared" ca="1" si="47"/>
        <v>0</v>
      </c>
      <c r="J60">
        <f t="shared" ca="1" si="47"/>
        <v>0</v>
      </c>
      <c r="K60">
        <f t="shared" ca="1" si="47"/>
        <v>0</v>
      </c>
      <c r="L60">
        <f t="shared" ca="1" si="47"/>
        <v>0</v>
      </c>
      <c r="M60">
        <f t="shared" ca="1" si="47"/>
        <v>0</v>
      </c>
      <c r="N60">
        <f t="shared" ca="1" si="47"/>
        <v>0</v>
      </c>
      <c r="O60">
        <f t="shared" ca="1" si="47"/>
        <v>0</v>
      </c>
      <c r="P60">
        <f t="shared" ca="1" si="47"/>
        <v>0</v>
      </c>
      <c r="Q60">
        <f t="shared" ca="1" si="47"/>
        <v>0</v>
      </c>
      <c r="R60">
        <f t="shared" ca="1" si="47"/>
        <v>0</v>
      </c>
      <c r="S60">
        <f t="shared" ca="1" si="47"/>
        <v>0</v>
      </c>
      <c r="T60">
        <f t="shared" ca="1" si="47"/>
        <v>0</v>
      </c>
      <c r="U60">
        <f t="shared" ca="1" si="47"/>
        <v>0</v>
      </c>
      <c r="V60">
        <f t="shared" ca="1" si="47"/>
        <v>0</v>
      </c>
      <c r="W60">
        <f t="shared" ca="1" si="47"/>
        <v>0</v>
      </c>
      <c r="X60">
        <f t="shared" ca="1" si="47"/>
        <v>0</v>
      </c>
    </row>
    <row r="66" spans="4:13" ht="24.6" x14ac:dyDescent="0.4">
      <c r="D66" s="272" t="s">
        <v>639</v>
      </c>
    </row>
    <row r="67" spans="4:13" x14ac:dyDescent="0.25">
      <c r="D67" s="25"/>
    </row>
    <row r="68" spans="4:13" ht="13.8" x14ac:dyDescent="0.3">
      <c r="D68" s="70" t="s">
        <v>405</v>
      </c>
      <c r="I68" s="26" t="s">
        <v>553</v>
      </c>
      <c r="J68">
        <f ca="1">'Design Calculator'!G56</f>
        <v>175</v>
      </c>
      <c r="K68" s="25" t="s">
        <v>631</v>
      </c>
    </row>
    <row r="69" spans="4:13" x14ac:dyDescent="0.25">
      <c r="D69" s="25" t="s">
        <v>403</v>
      </c>
      <c r="E69">
        <f>SOA!H75</f>
        <v>50</v>
      </c>
    </row>
    <row r="70" spans="4:13" x14ac:dyDescent="0.25">
      <c r="D70" s="25" t="s">
        <v>388</v>
      </c>
      <c r="E70">
        <v>1.5</v>
      </c>
      <c r="I70" s="66" t="s">
        <v>397</v>
      </c>
      <c r="K70" s="16"/>
      <c r="L70" s="16"/>
      <c r="M70" s="16"/>
    </row>
    <row r="71" spans="4:13" x14ac:dyDescent="0.25">
      <c r="D71" s="25" t="s">
        <v>380</v>
      </c>
      <c r="E71">
        <f>1/2*COUTMAX*VINMAX^2*0.000001</f>
        <v>539</v>
      </c>
      <c r="J71" s="70" t="s">
        <v>632</v>
      </c>
      <c r="K71" s="176" t="s">
        <v>398</v>
      </c>
      <c r="L71" s="176" t="s">
        <v>642</v>
      </c>
      <c r="M71" s="176" t="s">
        <v>634</v>
      </c>
    </row>
    <row r="72" spans="4:13" x14ac:dyDescent="0.25">
      <c r="D72" s="25" t="s">
        <v>382</v>
      </c>
      <c r="E72">
        <f>MAX(Equations!G62-E71,0)</f>
        <v>17.242418639053199</v>
      </c>
      <c r="I72" s="66" t="s">
        <v>399</v>
      </c>
      <c r="J72" s="66">
        <v>0.01</v>
      </c>
      <c r="K72" s="1">
        <v>0.1</v>
      </c>
      <c r="L72" s="1">
        <v>1</v>
      </c>
      <c r="M72" s="1">
        <v>10</v>
      </c>
    </row>
    <row r="73" spans="4:13" x14ac:dyDescent="0.25">
      <c r="D73" s="25" t="s">
        <v>383</v>
      </c>
      <c r="E73">
        <f>Equations!G61</f>
        <v>350</v>
      </c>
      <c r="I73" s="66" t="s">
        <v>400</v>
      </c>
      <c r="J73" s="1">
        <v>0.1</v>
      </c>
      <c r="K73" s="1">
        <v>1</v>
      </c>
      <c r="L73" s="1">
        <v>10</v>
      </c>
      <c r="M73" s="1">
        <v>100</v>
      </c>
    </row>
    <row r="74" spans="4:13" x14ac:dyDescent="0.25">
      <c r="I74" s="66" t="s">
        <v>179</v>
      </c>
      <c r="J74" s="1">
        <f ca="1">SOA!C83</f>
        <v>3.49244465945723</v>
      </c>
      <c r="K74" s="1">
        <f ca="1">SOA!D83</f>
        <v>4.9912624244628025</v>
      </c>
      <c r="L74" s="1">
        <f ca="1">SOA!E83</f>
        <v>4.9912624244628025</v>
      </c>
      <c r="M74" s="1">
        <f ca="1">SOA!F83</f>
        <v>2.5375605652732385</v>
      </c>
    </row>
    <row r="75" spans="4:13" x14ac:dyDescent="0.25">
      <c r="D75" t="s">
        <v>185</v>
      </c>
      <c r="E75">
        <f>'Design Calculator'!F27</f>
        <v>40</v>
      </c>
      <c r="I75" s="66" t="s">
        <v>180</v>
      </c>
      <c r="J75" s="16">
        <f ca="1">SOA!C84</f>
        <v>-1.0294652291130719</v>
      </c>
      <c r="K75" s="16">
        <f ca="1">SOA!D84</f>
        <v>-0.87438435794684766</v>
      </c>
      <c r="L75" s="16">
        <f ca="1">SOA!E84</f>
        <v>-0.52532255903169245</v>
      </c>
      <c r="M75" s="16">
        <f ca="1">SOA!F84</f>
        <v>-0.23152857134011678</v>
      </c>
    </row>
    <row r="76" spans="4:13" x14ac:dyDescent="0.25">
      <c r="D76" t="s">
        <v>130</v>
      </c>
      <c r="E76" t="str">
        <f>'Design Calculator'!F28</f>
        <v>Constant Current</v>
      </c>
    </row>
    <row r="77" spans="4:13" x14ac:dyDescent="0.25">
      <c r="D77" t="s">
        <v>131</v>
      </c>
      <c r="E77">
        <f>'Design Calculator'!F29</f>
        <v>10</v>
      </c>
      <c r="I77" s="172" t="s">
        <v>416</v>
      </c>
      <c r="J77" s="70" t="s">
        <v>144</v>
      </c>
    </row>
    <row r="78" spans="4:13" x14ac:dyDescent="0.25">
      <c r="G78" t="s">
        <v>414</v>
      </c>
      <c r="I78" s="3">
        <f ca="1">SUM(E108:X108)</f>
        <v>0</v>
      </c>
      <c r="J78" s="3" t="str">
        <f ca="1">IF(I78=0, "NA", I78/AVERAGE(1, E82))</f>
        <v>NA</v>
      </c>
    </row>
    <row r="79" spans="4:13" x14ac:dyDescent="0.25">
      <c r="D79" s="25" t="s">
        <v>445</v>
      </c>
      <c r="E79">
        <f>12/1</f>
        <v>12</v>
      </c>
      <c r="G79" t="s">
        <v>415</v>
      </c>
      <c r="I79" s="3">
        <f ca="1">SUM(E109:X109)</f>
        <v>0</v>
      </c>
      <c r="J79" s="3" t="str">
        <f ca="1">IF(I79=0, "NA", I79*AVERAGE(1,E82))</f>
        <v>NA</v>
      </c>
    </row>
    <row r="80" spans="4:13" x14ac:dyDescent="0.25">
      <c r="D80" s="25" t="s">
        <v>446</v>
      </c>
      <c r="E80">
        <v>0.12</v>
      </c>
    </row>
    <row r="81" spans="4:24" x14ac:dyDescent="0.25">
      <c r="D81" s="25" t="s">
        <v>406</v>
      </c>
      <c r="E81">
        <v>20</v>
      </c>
    </row>
    <row r="82" spans="4:24" x14ac:dyDescent="0.25">
      <c r="D82" s="25" t="s">
        <v>407</v>
      </c>
      <c r="E82">
        <f>(E80/E79)^(1/(E81-1))</f>
        <v>0.78475997035146128</v>
      </c>
    </row>
    <row r="83" spans="4:24" x14ac:dyDescent="0.25">
      <c r="D83" s="25"/>
    </row>
    <row r="84" spans="4:24" x14ac:dyDescent="0.25">
      <c r="E84">
        <v>1</v>
      </c>
      <c r="F84">
        <v>2</v>
      </c>
      <c r="G84">
        <v>3</v>
      </c>
      <c r="H84">
        <v>4</v>
      </c>
      <c r="I84">
        <v>5</v>
      </c>
      <c r="J84">
        <v>6</v>
      </c>
      <c r="K84">
        <v>7</v>
      </c>
      <c r="L84">
        <v>8</v>
      </c>
      <c r="M84">
        <v>9</v>
      </c>
      <c r="N84">
        <v>10</v>
      </c>
      <c r="O84">
        <v>11</v>
      </c>
      <c r="P84">
        <v>12</v>
      </c>
      <c r="Q84">
        <v>13</v>
      </c>
      <c r="R84">
        <v>14</v>
      </c>
      <c r="S84">
        <v>15</v>
      </c>
      <c r="T84">
        <v>16</v>
      </c>
      <c r="U84">
        <v>17</v>
      </c>
      <c r="V84">
        <v>18</v>
      </c>
      <c r="W84">
        <v>19</v>
      </c>
      <c r="X84">
        <v>20</v>
      </c>
    </row>
    <row r="85" spans="4:24" x14ac:dyDescent="0.25">
      <c r="D85" s="175" t="s">
        <v>381</v>
      </c>
      <c r="E85" s="175">
        <f>E79</f>
        <v>12</v>
      </c>
      <c r="F85" s="175">
        <f>E85*$E$33</f>
        <v>9.4171196442175358</v>
      </c>
      <c r="G85" s="175">
        <f t="shared" ref="G85" si="48">F85*$E$33</f>
        <v>7.3901785327923166</v>
      </c>
      <c r="H85" s="175">
        <f t="shared" ref="H85" si="49">G85*$E$33</f>
        <v>5.7995162862861038</v>
      </c>
      <c r="I85" s="175">
        <f t="shared" ref="I85" si="50">H85*$E$33</f>
        <v>4.5512282288787</v>
      </c>
      <c r="J85" s="175">
        <f t="shared" ref="J85" si="51">I85*$E$33</f>
        <v>3.5716217299575823</v>
      </c>
      <c r="K85" s="175">
        <f t="shared" ref="K85" si="52">J85*$E$33</f>
        <v>2.802865762908147</v>
      </c>
      <c r="L85" s="175">
        <f t="shared" ref="L85" si="53">K85*$E$33</f>
        <v>2.1995768529989235</v>
      </c>
      <c r="M85" s="175">
        <f t="shared" ref="M85" si="54">L85*$E$33</f>
        <v>1.7261398659451956</v>
      </c>
      <c r="N85" s="175">
        <f t="shared" ref="N85" si="55">M85*$E$33</f>
        <v>1.354605470021627</v>
      </c>
      <c r="O85" s="175">
        <f t="shared" ref="O85" si="56">N85*$E$33</f>
        <v>1.0630401484920993</v>
      </c>
      <c r="P85" s="175">
        <f t="shared" ref="P85" si="57">O85*$E$33</f>
        <v>0.83423135541307281</v>
      </c>
      <c r="Q85" s="175">
        <f t="shared" ref="Q85" si="58">P85*$E$33</f>
        <v>0.65467137374022233</v>
      </c>
      <c r="R85" s="175">
        <f t="shared" ref="R85" si="59">Q85*$E$33</f>
        <v>0.51375988784632731</v>
      </c>
      <c r="S85" s="175">
        <f t="shared" ref="S85" si="60">R85*$E$33</f>
        <v>0.40317819435405389</v>
      </c>
      <c r="T85" s="175">
        <f t="shared" ref="T85" si="61">S85*$E$33</f>
        <v>0.316398107847643</v>
      </c>
      <c r="U85" s="175">
        <f t="shared" ref="U85" si="62">T85*$E$33</f>
        <v>0.24829656973377476</v>
      </c>
      <c r="V85" s="175">
        <f t="shared" ref="V85" si="63">U85*$E$33</f>
        <v>0.19485320870264661</v>
      </c>
      <c r="W85" s="175">
        <f t="shared" ref="W85" si="64">V85*$E$33</f>
        <v>0.15291299828437604</v>
      </c>
      <c r="X85" s="175">
        <f t="shared" ref="X85" si="65">W85*$E$33</f>
        <v>0.12</v>
      </c>
    </row>
    <row r="86" spans="4:24" x14ac:dyDescent="0.25">
      <c r="D86" s="25" t="s">
        <v>384</v>
      </c>
      <c r="E86">
        <f t="shared" ref="E86:X86" si="66">VINMAX/E85</f>
        <v>5.833333333333333</v>
      </c>
      <c r="F86">
        <f t="shared" si="66"/>
        <v>7.4332707499349464</v>
      </c>
      <c r="G86">
        <f t="shared" si="66"/>
        <v>9.4720309786008769</v>
      </c>
      <c r="H86">
        <f t="shared" si="66"/>
        <v>12.069972139836272</v>
      </c>
      <c r="I86">
        <f t="shared" si="66"/>
        <v>15.380463575927088</v>
      </c>
      <c r="J86">
        <f t="shared" si="66"/>
        <v>19.59894000332206</v>
      </c>
      <c r="K86">
        <f t="shared" si="66"/>
        <v>24.974438992529794</v>
      </c>
      <c r="L86">
        <f t="shared" si="66"/>
        <v>31.824302890149688</v>
      </c>
      <c r="M86">
        <f t="shared" si="66"/>
        <v>40.552913110357693</v>
      </c>
      <c r="N86">
        <f t="shared" si="66"/>
        <v>51.675562773921484</v>
      </c>
      <c r="O86">
        <f t="shared" si="66"/>
        <v>65.848877014940186</v>
      </c>
      <c r="P86">
        <f t="shared" si="66"/>
        <v>83.90957681678033</v>
      </c>
      <c r="Q86">
        <f t="shared" si="66"/>
        <v>106.92387479855876</v>
      </c>
      <c r="R86">
        <f t="shared" si="66"/>
        <v>136.25041903025712</v>
      </c>
      <c r="S86">
        <f t="shared" si="66"/>
        <v>173.62050076182689</v>
      </c>
      <c r="T86">
        <f t="shared" si="66"/>
        <v>221.2402611260479</v>
      </c>
      <c r="U86">
        <f t="shared" si="66"/>
        <v>281.92093058335229</v>
      </c>
      <c r="V86">
        <f t="shared" si="66"/>
        <v>359.24478978851539</v>
      </c>
      <c r="W86">
        <f t="shared" si="66"/>
        <v>457.77664937168578</v>
      </c>
      <c r="X86">
        <f t="shared" si="66"/>
        <v>583.33333333333337</v>
      </c>
    </row>
    <row r="87" spans="4:24" x14ac:dyDescent="0.25">
      <c r="D87" s="25" t="s">
        <v>385</v>
      </c>
      <c r="E87">
        <f t="shared" ref="E87:X87" si="67">E85*COUTMAX/1000</f>
        <v>2640</v>
      </c>
      <c r="F87">
        <f t="shared" si="67"/>
        <v>2071.7663217278578</v>
      </c>
      <c r="G87">
        <f t="shared" si="67"/>
        <v>1625.8392772143097</v>
      </c>
      <c r="H87">
        <f t="shared" si="67"/>
        <v>1275.8935829829429</v>
      </c>
      <c r="I87">
        <f t="shared" si="67"/>
        <v>1001.270210353314</v>
      </c>
      <c r="J87">
        <f t="shared" si="67"/>
        <v>785.75678059066809</v>
      </c>
      <c r="K87">
        <f t="shared" si="67"/>
        <v>616.63046783979235</v>
      </c>
      <c r="L87">
        <f t="shared" si="67"/>
        <v>483.90690765976319</v>
      </c>
      <c r="M87">
        <f t="shared" si="67"/>
        <v>379.75077050794306</v>
      </c>
      <c r="N87">
        <f t="shared" si="67"/>
        <v>298.01320340475797</v>
      </c>
      <c r="O87">
        <f t="shared" si="67"/>
        <v>233.86883266826183</v>
      </c>
      <c r="P87">
        <f t="shared" si="67"/>
        <v>183.530898190876</v>
      </c>
      <c r="Q87">
        <f t="shared" si="67"/>
        <v>144.02770222284892</v>
      </c>
      <c r="R87">
        <f t="shared" si="67"/>
        <v>113.02717532619201</v>
      </c>
      <c r="S87">
        <f t="shared" si="67"/>
        <v>88.699202757891854</v>
      </c>
      <c r="T87">
        <f t="shared" si="67"/>
        <v>69.607583726481465</v>
      </c>
      <c r="U87">
        <f t="shared" si="67"/>
        <v>54.62524534143045</v>
      </c>
      <c r="V87">
        <f t="shared" si="67"/>
        <v>42.86770591458226</v>
      </c>
      <c r="W87">
        <f t="shared" si="67"/>
        <v>33.640859622562736</v>
      </c>
      <c r="X87">
        <f t="shared" si="67"/>
        <v>26.4</v>
      </c>
    </row>
    <row r="88" spans="4:24" x14ac:dyDescent="0.25">
      <c r="D88" s="25" t="s">
        <v>386</v>
      </c>
      <c r="E88">
        <f>$E$71+$E$72*E86/$E$73</f>
        <v>539.28737364398421</v>
      </c>
      <c r="F88">
        <f t="shared" ref="F88:X88" si="68">$E$71+$E$72*F86/$E$73</f>
        <v>539.3661930460795</v>
      </c>
      <c r="G88">
        <f t="shared" si="68"/>
        <v>539.46663063855749</v>
      </c>
      <c r="H88">
        <f t="shared" si="68"/>
        <v>539.59461575027649</v>
      </c>
      <c r="I88">
        <f t="shared" si="68"/>
        <v>539.75770397668236</v>
      </c>
      <c r="J88">
        <f t="shared" si="68"/>
        <v>539.96552322405421</v>
      </c>
      <c r="K88">
        <f t="shared" si="68"/>
        <v>540.23034209252774</v>
      </c>
      <c r="L88">
        <f t="shared" si="68"/>
        <v>540.56779415236565</v>
      </c>
      <c r="M88">
        <f t="shared" si="68"/>
        <v>540.99780087109127</v>
      </c>
      <c r="N88">
        <f t="shared" si="68"/>
        <v>541.54574767644749</v>
      </c>
      <c r="O88">
        <f t="shared" si="68"/>
        <v>542.2439825840089</v>
      </c>
      <c r="P88">
        <f t="shared" si="68"/>
        <v>543.13372586085916</v>
      </c>
      <c r="Q88">
        <f t="shared" si="68"/>
        <v>544.26750346224708</v>
      </c>
      <c r="R88">
        <f t="shared" si="68"/>
        <v>545.71224789904602</v>
      </c>
      <c r="S88">
        <f t="shared" si="68"/>
        <v>547.55324959559277</v>
      </c>
      <c r="T88">
        <f t="shared" si="68"/>
        <v>549.89919200613929</v>
      </c>
      <c r="U88">
        <f t="shared" si="68"/>
        <v>552.88856773779889</v>
      </c>
      <c r="V88">
        <f t="shared" si="68"/>
        <v>556.69785445552066</v>
      </c>
      <c r="W88">
        <f t="shared" si="68"/>
        <v>561.55193323328479</v>
      </c>
      <c r="X88">
        <f t="shared" si="68"/>
        <v>567.73736439842196</v>
      </c>
    </row>
    <row r="89" spans="4:24" x14ac:dyDescent="0.25">
      <c r="D89" s="25" t="s">
        <v>389</v>
      </c>
      <c r="E89">
        <f t="shared" ref="E89:X89" si="69">(E87+IF($E$76="Resistive",0,IF($E$75=0,$E$77,0)))*VINMAX</f>
        <v>184800</v>
      </c>
      <c r="F89">
        <f t="shared" si="69"/>
        <v>145023.64252095003</v>
      </c>
      <c r="G89">
        <f t="shared" si="69"/>
        <v>113808.74940500168</v>
      </c>
      <c r="H89">
        <f t="shared" si="69"/>
        <v>89312.550808806001</v>
      </c>
      <c r="I89">
        <f t="shared" si="69"/>
        <v>70088.914724731978</v>
      </c>
      <c r="J89">
        <f t="shared" si="69"/>
        <v>55002.974641346766</v>
      </c>
      <c r="K89">
        <f t="shared" si="69"/>
        <v>43164.132748785465</v>
      </c>
      <c r="L89">
        <f t="shared" si="69"/>
        <v>33873.483536183427</v>
      </c>
      <c r="M89">
        <f t="shared" si="69"/>
        <v>26582.553935556014</v>
      </c>
      <c r="N89">
        <f t="shared" si="69"/>
        <v>20860.924238333057</v>
      </c>
      <c r="O89">
        <f t="shared" si="69"/>
        <v>16370.818286778329</v>
      </c>
      <c r="P89">
        <f t="shared" si="69"/>
        <v>12847.16287336132</v>
      </c>
      <c r="Q89">
        <f t="shared" si="69"/>
        <v>10081.939155599424</v>
      </c>
      <c r="R89">
        <f t="shared" si="69"/>
        <v>7911.9022728334403</v>
      </c>
      <c r="S89">
        <f t="shared" si="69"/>
        <v>6208.9441930524299</v>
      </c>
      <c r="T89">
        <f t="shared" si="69"/>
        <v>4872.5308608537025</v>
      </c>
      <c r="U89">
        <f t="shared" si="69"/>
        <v>3823.7671739001316</v>
      </c>
      <c r="V89">
        <f t="shared" si="69"/>
        <v>3000.739414020758</v>
      </c>
      <c r="W89">
        <f t="shared" si="69"/>
        <v>2354.8601735793914</v>
      </c>
      <c r="X89">
        <f t="shared" si="69"/>
        <v>1848</v>
      </c>
    </row>
    <row r="90" spans="4:24" x14ac:dyDescent="0.25">
      <c r="D90" s="25" t="s">
        <v>387</v>
      </c>
      <c r="E90">
        <f t="shared" ref="E90:X90" si="70">(E87+IF($E$76="Resistive", $E$75/$E$77,$E$77)) *(VINMAX-$E$75)</f>
        <v>79500</v>
      </c>
      <c r="F90">
        <f t="shared" si="70"/>
        <v>62452.989651835735</v>
      </c>
      <c r="G90">
        <f t="shared" si="70"/>
        <v>49075.178316429294</v>
      </c>
      <c r="H90">
        <f t="shared" si="70"/>
        <v>38576.807489488288</v>
      </c>
      <c r="I90">
        <f t="shared" si="70"/>
        <v>30338.106310599422</v>
      </c>
      <c r="J90">
        <f t="shared" si="70"/>
        <v>23872.703417720044</v>
      </c>
      <c r="K90">
        <f t="shared" si="70"/>
        <v>18798.914035193771</v>
      </c>
      <c r="L90">
        <f t="shared" si="70"/>
        <v>14817.207229792895</v>
      </c>
      <c r="M90">
        <f t="shared" si="70"/>
        <v>11692.523115238291</v>
      </c>
      <c r="N90">
        <f t="shared" si="70"/>
        <v>9240.3961021427385</v>
      </c>
      <c r="O90">
        <f t="shared" si="70"/>
        <v>7316.064980047855</v>
      </c>
      <c r="P90">
        <f t="shared" si="70"/>
        <v>5805.9269457262799</v>
      </c>
      <c r="Q90">
        <f t="shared" si="70"/>
        <v>4620.8310666854677</v>
      </c>
      <c r="R90">
        <f t="shared" si="70"/>
        <v>3690.8152597857602</v>
      </c>
      <c r="S90">
        <f t="shared" si="70"/>
        <v>2960.9760827367554</v>
      </c>
      <c r="T90">
        <f t="shared" si="70"/>
        <v>2388.2275117944441</v>
      </c>
      <c r="U90">
        <f t="shared" si="70"/>
        <v>1938.7573602429138</v>
      </c>
      <c r="V90">
        <f t="shared" si="70"/>
        <v>1586.0311774374677</v>
      </c>
      <c r="W90">
        <f t="shared" si="70"/>
        <v>1309.2257886768821</v>
      </c>
      <c r="X90">
        <f t="shared" si="70"/>
        <v>1092</v>
      </c>
    </row>
    <row r="91" spans="4:24" x14ac:dyDescent="0.25">
      <c r="D91" s="25" t="s">
        <v>392</v>
      </c>
      <c r="E91">
        <f t="shared" ref="E91:X91" si="71">IF($E$76="Resistive", -$E$77*E87/2 + VINMAX/2, -1)</f>
        <v>-1</v>
      </c>
      <c r="F91">
        <f t="shared" si="71"/>
        <v>-1</v>
      </c>
      <c r="G91">
        <f t="shared" si="71"/>
        <v>-1</v>
      </c>
      <c r="H91">
        <f t="shared" si="71"/>
        <v>-1</v>
      </c>
      <c r="I91">
        <f t="shared" si="71"/>
        <v>-1</v>
      </c>
      <c r="J91">
        <f t="shared" si="71"/>
        <v>-1</v>
      </c>
      <c r="K91">
        <f t="shared" si="71"/>
        <v>-1</v>
      </c>
      <c r="L91">
        <f t="shared" si="71"/>
        <v>-1</v>
      </c>
      <c r="M91">
        <f t="shared" si="71"/>
        <v>-1</v>
      </c>
      <c r="N91">
        <f t="shared" si="71"/>
        <v>-1</v>
      </c>
      <c r="O91">
        <f t="shared" si="71"/>
        <v>-1</v>
      </c>
      <c r="P91">
        <f t="shared" si="71"/>
        <v>-1</v>
      </c>
      <c r="Q91">
        <f t="shared" si="71"/>
        <v>-1</v>
      </c>
      <c r="R91">
        <f t="shared" si="71"/>
        <v>-1</v>
      </c>
      <c r="S91">
        <f t="shared" si="71"/>
        <v>-1</v>
      </c>
      <c r="T91">
        <f t="shared" si="71"/>
        <v>-1</v>
      </c>
      <c r="U91">
        <f t="shared" si="71"/>
        <v>-1</v>
      </c>
      <c r="V91">
        <f t="shared" si="71"/>
        <v>-1</v>
      </c>
      <c r="W91">
        <f t="shared" si="71"/>
        <v>-1</v>
      </c>
      <c r="X91">
        <f t="shared" si="71"/>
        <v>-1</v>
      </c>
    </row>
    <row r="92" spans="4:24" x14ac:dyDescent="0.25">
      <c r="D92" s="25" t="s">
        <v>394</v>
      </c>
      <c r="E92">
        <f t="shared" ref="E92:X92" si="72">IF(AND(E91&lt;VINMAX, E91&gt;$E$75), (VINMAX-E91)*(E87+E91/$E$77), 0)</f>
        <v>0</v>
      </c>
      <c r="F92">
        <f t="shared" si="72"/>
        <v>0</v>
      </c>
      <c r="G92">
        <f t="shared" si="72"/>
        <v>0</v>
      </c>
      <c r="H92">
        <f t="shared" si="72"/>
        <v>0</v>
      </c>
      <c r="I92">
        <f t="shared" si="72"/>
        <v>0</v>
      </c>
      <c r="J92">
        <f t="shared" si="72"/>
        <v>0</v>
      </c>
      <c r="K92">
        <f t="shared" si="72"/>
        <v>0</v>
      </c>
      <c r="L92">
        <f t="shared" si="72"/>
        <v>0</v>
      </c>
      <c r="M92">
        <f t="shared" si="72"/>
        <v>0</v>
      </c>
      <c r="N92">
        <f t="shared" si="72"/>
        <v>0</v>
      </c>
      <c r="O92">
        <f t="shared" si="72"/>
        <v>0</v>
      </c>
      <c r="P92">
        <f t="shared" si="72"/>
        <v>0</v>
      </c>
      <c r="Q92">
        <f t="shared" si="72"/>
        <v>0</v>
      </c>
      <c r="R92">
        <f t="shared" si="72"/>
        <v>0</v>
      </c>
      <c r="S92">
        <f t="shared" si="72"/>
        <v>0</v>
      </c>
      <c r="T92">
        <f t="shared" si="72"/>
        <v>0</v>
      </c>
      <c r="U92">
        <f t="shared" si="72"/>
        <v>0</v>
      </c>
      <c r="V92">
        <f t="shared" si="72"/>
        <v>0</v>
      </c>
      <c r="W92">
        <f t="shared" si="72"/>
        <v>0</v>
      </c>
      <c r="X92">
        <f t="shared" si="72"/>
        <v>0</v>
      </c>
    </row>
    <row r="94" spans="4:24" x14ac:dyDescent="0.25">
      <c r="D94" s="25" t="s">
        <v>395</v>
      </c>
      <c r="E94">
        <f>MAX(E89,E90,E92)</f>
        <v>184800</v>
      </c>
      <c r="F94">
        <f>MAX(F89,F90,F92)</f>
        <v>145023.64252095003</v>
      </c>
      <c r="G94">
        <f>MAX(G89,G90,G92)</f>
        <v>113808.74940500168</v>
      </c>
      <c r="H94">
        <f t="shared" ref="H94:J94" si="73">MAX(H89,H90,H92)</f>
        <v>89312.550808806001</v>
      </c>
      <c r="I94">
        <f t="shared" si="73"/>
        <v>70088.914724731978</v>
      </c>
      <c r="J94">
        <f t="shared" si="73"/>
        <v>55002.974641346766</v>
      </c>
      <c r="K94">
        <f>MAX(K89,K90,K92)</f>
        <v>43164.132748785465</v>
      </c>
      <c r="L94">
        <f t="shared" ref="L94:X94" si="74">MAX(L89,L90,L92)</f>
        <v>33873.483536183427</v>
      </c>
      <c r="M94">
        <f t="shared" si="74"/>
        <v>26582.553935556014</v>
      </c>
      <c r="N94">
        <f t="shared" si="74"/>
        <v>20860.924238333057</v>
      </c>
      <c r="O94">
        <f t="shared" si="74"/>
        <v>16370.818286778329</v>
      </c>
      <c r="P94">
        <f t="shared" si="74"/>
        <v>12847.16287336132</v>
      </c>
      <c r="Q94">
        <f t="shared" si="74"/>
        <v>10081.939155599424</v>
      </c>
      <c r="R94">
        <f t="shared" si="74"/>
        <v>7911.9022728334403</v>
      </c>
      <c r="S94">
        <f t="shared" si="74"/>
        <v>6208.9441930524299</v>
      </c>
      <c r="T94">
        <f t="shared" si="74"/>
        <v>4872.5308608537025</v>
      </c>
      <c r="U94">
        <f t="shared" si="74"/>
        <v>3823.7671739001316</v>
      </c>
      <c r="V94">
        <f t="shared" si="74"/>
        <v>3000.739414020758</v>
      </c>
      <c r="W94">
        <f t="shared" si="74"/>
        <v>2354.8601735793914</v>
      </c>
      <c r="X94">
        <f t="shared" si="74"/>
        <v>1848</v>
      </c>
    </row>
    <row r="95" spans="4:24" x14ac:dyDescent="0.25">
      <c r="D95" s="25" t="s">
        <v>396</v>
      </c>
      <c r="E95">
        <f>E88/E94*1000</f>
        <v>2.9182217188527284</v>
      </c>
      <c r="F95">
        <f>F88/F94*1000</f>
        <v>3.7191604325354257</v>
      </c>
      <c r="G95">
        <f>G88/G94*1000</f>
        <v>4.7401156190443912</v>
      </c>
      <c r="H95">
        <f t="shared" ref="H95:J95" si="75">H88/H94*1000</f>
        <v>6.0416437652240225</v>
      </c>
      <c r="I95">
        <f t="shared" si="75"/>
        <v>7.7010423987378473</v>
      </c>
      <c r="J95">
        <f t="shared" si="75"/>
        <v>9.8170240199727665</v>
      </c>
      <c r="K95">
        <f>K88/K94*1000</f>
        <v>12.51572330287879</v>
      </c>
      <c r="L95">
        <f t="shared" ref="L95:X95" si="76">L88/L94*1000</f>
        <v>15.958435263232811</v>
      </c>
      <c r="M95">
        <f t="shared" si="76"/>
        <v>20.351611142504602</v>
      </c>
      <c r="N95">
        <f t="shared" si="76"/>
        <v>25.959815657703622</v>
      </c>
      <c r="O95">
        <f t="shared" si="76"/>
        <v>33.122594917686243</v>
      </c>
      <c r="P95">
        <f t="shared" si="76"/>
        <v>42.276550178020287</v>
      </c>
      <c r="Q95">
        <f t="shared" si="76"/>
        <v>53.984406676364983</v>
      </c>
      <c r="R95">
        <f t="shared" si="76"/>
        <v>68.973582974200909</v>
      </c>
      <c r="S95">
        <f t="shared" si="76"/>
        <v>88.187819469900191</v>
      </c>
      <c r="T95">
        <f t="shared" si="76"/>
        <v>112.85699520634601</v>
      </c>
      <c r="U95">
        <f t="shared" si="76"/>
        <v>144.59263406821617</v>
      </c>
      <c r="V95">
        <f t="shared" si="76"/>
        <v>185.520226066411</v>
      </c>
      <c r="W95">
        <f t="shared" si="76"/>
        <v>238.46508575484756</v>
      </c>
      <c r="X95">
        <f t="shared" si="76"/>
        <v>307.21718852728463</v>
      </c>
    </row>
    <row r="97" spans="4:25" x14ac:dyDescent="0.25">
      <c r="D97" s="25" t="s">
        <v>179</v>
      </c>
      <c r="E97">
        <f ca="1">IF(E95&lt;$J$73,$J$74,IF(E95&lt;$K$73,$K$74,IF(E95&lt;$L$73,$L$74,$M$74)))</f>
        <v>4.9912624244628025</v>
      </c>
      <c r="F97">
        <f t="shared" ref="F97:X97" ca="1" si="77">IF(F95&lt;$J$73,$J$74,IF(F95&lt;$K$73,$K$74,IF(F95&lt;$L$73,$L$74,$M$74)))</f>
        <v>4.9912624244628025</v>
      </c>
      <c r="G97">
        <f t="shared" ca="1" si="77"/>
        <v>4.9912624244628025</v>
      </c>
      <c r="H97">
        <f t="shared" ca="1" si="77"/>
        <v>4.9912624244628025</v>
      </c>
      <c r="I97">
        <f t="shared" ca="1" si="77"/>
        <v>4.9912624244628025</v>
      </c>
      <c r="J97">
        <f t="shared" ca="1" si="77"/>
        <v>4.9912624244628025</v>
      </c>
      <c r="K97">
        <f t="shared" ca="1" si="77"/>
        <v>2.5375605652732385</v>
      </c>
      <c r="L97">
        <f t="shared" ca="1" si="77"/>
        <v>2.5375605652732385</v>
      </c>
      <c r="M97">
        <f t="shared" ca="1" si="77"/>
        <v>2.5375605652732385</v>
      </c>
      <c r="N97">
        <f t="shared" ca="1" si="77"/>
        <v>2.5375605652732385</v>
      </c>
      <c r="O97">
        <f t="shared" ca="1" si="77"/>
        <v>2.5375605652732385</v>
      </c>
      <c r="P97">
        <f t="shared" ca="1" si="77"/>
        <v>2.5375605652732385</v>
      </c>
      <c r="Q97">
        <f t="shared" ca="1" si="77"/>
        <v>2.5375605652732385</v>
      </c>
      <c r="R97">
        <f t="shared" ca="1" si="77"/>
        <v>2.5375605652732385</v>
      </c>
      <c r="S97">
        <f t="shared" ca="1" si="77"/>
        <v>2.5375605652732385</v>
      </c>
      <c r="T97">
        <f t="shared" ca="1" si="77"/>
        <v>2.5375605652732385</v>
      </c>
      <c r="U97">
        <f t="shared" ca="1" si="77"/>
        <v>2.5375605652732385</v>
      </c>
      <c r="V97">
        <f t="shared" ca="1" si="77"/>
        <v>2.5375605652732385</v>
      </c>
      <c r="W97">
        <f t="shared" ca="1" si="77"/>
        <v>2.5375605652732385</v>
      </c>
      <c r="X97">
        <f t="shared" ca="1" si="77"/>
        <v>2.5375605652732385</v>
      </c>
    </row>
    <row r="98" spans="4:25" x14ac:dyDescent="0.25">
      <c r="D98" s="25" t="s">
        <v>180</v>
      </c>
      <c r="E98">
        <f ca="1">IF(E95&lt;$J$73,$J$75,IF(E95&lt;$K$73,$K$75,IF(E95&lt;$L$73,$L$75,$M$75)))</f>
        <v>-0.52532255903169245</v>
      </c>
      <c r="F98">
        <f t="shared" ref="F98:X98" ca="1" si="78">IF(F95&lt;$J$73,$J$75,IF(F95&lt;$K$73,$K$75,IF(F95&lt;$L$73,$L$75,$M$75)))</f>
        <v>-0.52532255903169245</v>
      </c>
      <c r="G98">
        <f t="shared" ca="1" si="78"/>
        <v>-0.52532255903169245</v>
      </c>
      <c r="H98">
        <f t="shared" ca="1" si="78"/>
        <v>-0.52532255903169245</v>
      </c>
      <c r="I98">
        <f t="shared" ca="1" si="78"/>
        <v>-0.52532255903169245</v>
      </c>
      <c r="J98">
        <f t="shared" ca="1" si="78"/>
        <v>-0.52532255903169245</v>
      </c>
      <c r="K98">
        <f t="shared" ca="1" si="78"/>
        <v>-0.23152857134011678</v>
      </c>
      <c r="L98">
        <f t="shared" ca="1" si="78"/>
        <v>-0.23152857134011678</v>
      </c>
      <c r="M98">
        <f t="shared" ca="1" si="78"/>
        <v>-0.23152857134011678</v>
      </c>
      <c r="N98">
        <f t="shared" ca="1" si="78"/>
        <v>-0.23152857134011678</v>
      </c>
      <c r="O98">
        <f t="shared" ca="1" si="78"/>
        <v>-0.23152857134011678</v>
      </c>
      <c r="P98">
        <f t="shared" ca="1" si="78"/>
        <v>-0.23152857134011678</v>
      </c>
      <c r="Q98">
        <f t="shared" ca="1" si="78"/>
        <v>-0.23152857134011678</v>
      </c>
      <c r="R98">
        <f t="shared" ca="1" si="78"/>
        <v>-0.23152857134011678</v>
      </c>
      <c r="S98">
        <f t="shared" ca="1" si="78"/>
        <v>-0.23152857134011678</v>
      </c>
      <c r="T98">
        <f t="shared" ca="1" si="78"/>
        <v>-0.23152857134011678</v>
      </c>
      <c r="U98">
        <f t="shared" ca="1" si="78"/>
        <v>-0.23152857134011678</v>
      </c>
      <c r="V98">
        <f t="shared" ca="1" si="78"/>
        <v>-0.23152857134011678</v>
      </c>
      <c r="W98">
        <f t="shared" ca="1" si="78"/>
        <v>-0.23152857134011678</v>
      </c>
      <c r="X98">
        <f t="shared" ca="1" si="78"/>
        <v>-0.23152857134011678</v>
      </c>
    </row>
    <row r="100" spans="4:25" x14ac:dyDescent="0.25">
      <c r="D100" s="25" t="s">
        <v>401</v>
      </c>
      <c r="E100">
        <f t="shared" ref="E100:I100" ca="1" si="79">E97*E95^E98*VINMAX</f>
        <v>199.05418662761599</v>
      </c>
      <c r="F100">
        <f t="shared" ca="1" si="79"/>
        <v>175.24307408419239</v>
      </c>
      <c r="G100">
        <f t="shared" ca="1" si="79"/>
        <v>154.27703070229319</v>
      </c>
      <c r="H100">
        <f t="shared" ca="1" si="79"/>
        <v>135.81572010740675</v>
      </c>
      <c r="I100">
        <f t="shared" ca="1" si="79"/>
        <v>119.55947095722019</v>
      </c>
      <c r="J100">
        <f ca="1">J97*J95^J98*VINMAX</f>
        <v>105.24441273130172</v>
      </c>
      <c r="K100">
        <f t="shared" ref="K100:V100" ca="1" si="80">K97*K95^K98*VINMAX</f>
        <v>98.951423808278875</v>
      </c>
      <c r="L100">
        <f t="shared" ca="1" si="80"/>
        <v>93.537946141611386</v>
      </c>
      <c r="M100">
        <f t="shared" ca="1" si="80"/>
        <v>88.417136758622888</v>
      </c>
      <c r="N100">
        <f t="shared" ca="1" si="80"/>
        <v>83.572467828928467</v>
      </c>
      <c r="O100">
        <f t="shared" ca="1" si="80"/>
        <v>78.988203577214875</v>
      </c>
      <c r="P100">
        <f t="shared" ca="1" si="80"/>
        <v>74.649336674566655</v>
      </c>
      <c r="Q100">
        <f t="shared" ca="1" si="80"/>
        <v>70.54152502598042</v>
      </c>
      <c r="R100">
        <f t="shared" ca="1" si="80"/>
        <v>66.651028859448886</v>
      </c>
      <c r="S100">
        <f t="shared" ca="1" si="80"/>
        <v>62.964648281249268</v>
      </c>
      <c r="T100">
        <f t="shared" ca="1" si="80"/>
        <v>59.469661877183192</v>
      </c>
      <c r="U100">
        <f t="shared" ca="1" si="80"/>
        <v>56.153767577291539</v>
      </c>
      <c r="V100">
        <f t="shared" ca="1" si="80"/>
        <v>53.00502794371468</v>
      </c>
      <c r="W100">
        <f ca="1">W97*W95^W98*VINMAX</f>
        <v>50.011823375493385</v>
      </c>
      <c r="X100">
        <f t="shared" ref="X100" ca="1" si="81">X97*X95^X98*VINMAX</f>
        <v>47.162818519340043</v>
      </c>
    </row>
    <row r="101" spans="4:25" x14ac:dyDescent="0.25">
      <c r="D101" s="25" t="s">
        <v>402</v>
      </c>
      <c r="E101">
        <f ca="1">E100*($J$68-$E$69)/($J$68 - 25)</f>
        <v>165.87848885634668</v>
      </c>
      <c r="F101">
        <f t="shared" ref="F101:W101" ca="1" si="82">F100*($J$68-$E$69)/($J$68 - 25)</f>
        <v>146.03589507016034</v>
      </c>
      <c r="G101">
        <f t="shared" ca="1" si="82"/>
        <v>128.56419225191098</v>
      </c>
      <c r="H101">
        <f t="shared" ca="1" si="82"/>
        <v>113.1797667561723</v>
      </c>
      <c r="I101">
        <f t="shared" ca="1" si="82"/>
        <v>99.632892464350149</v>
      </c>
      <c r="J101">
        <f t="shared" ca="1" si="82"/>
        <v>87.703677276084775</v>
      </c>
      <c r="K101">
        <f t="shared" ca="1" si="82"/>
        <v>82.459519840232403</v>
      </c>
      <c r="L101">
        <f t="shared" ca="1" si="82"/>
        <v>77.948288451342833</v>
      </c>
      <c r="M101">
        <f t="shared" ca="1" si="82"/>
        <v>73.680947298852402</v>
      </c>
      <c r="N101">
        <f t="shared" ca="1" si="82"/>
        <v>69.643723190773713</v>
      </c>
      <c r="O101">
        <f t="shared" ca="1" si="82"/>
        <v>65.823502981012396</v>
      </c>
      <c r="P101">
        <f t="shared" ca="1" si="82"/>
        <v>62.207780562138879</v>
      </c>
      <c r="Q101">
        <f t="shared" ca="1" si="82"/>
        <v>58.784604188317012</v>
      </c>
      <c r="R101">
        <f t="shared" ca="1" si="82"/>
        <v>55.542524049540731</v>
      </c>
      <c r="S101">
        <f t="shared" ca="1" si="82"/>
        <v>52.47054023437439</v>
      </c>
      <c r="T101">
        <f t="shared" ca="1" si="82"/>
        <v>49.558051564319328</v>
      </c>
      <c r="U101">
        <f t="shared" ca="1" si="82"/>
        <v>46.794806314409612</v>
      </c>
      <c r="V101">
        <f t="shared" ca="1" si="82"/>
        <v>44.170856619762233</v>
      </c>
      <c r="W101">
        <f t="shared" ca="1" si="82"/>
        <v>41.67651947957782</v>
      </c>
      <c r="X101">
        <f ca="1">X100*($J$68-$E$69)/($J$68 - 25)</f>
        <v>39.302348766116701</v>
      </c>
    </row>
    <row r="102" spans="4:25" x14ac:dyDescent="0.25">
      <c r="D102" s="25" t="s">
        <v>404</v>
      </c>
      <c r="E102">
        <f ca="1">E101/E94</f>
        <v>8.9761087043477641E-4</v>
      </c>
      <c r="F102">
        <f ca="1">F101/F94</f>
        <v>1.0069799139755028E-3</v>
      </c>
      <c r="G102">
        <f ca="1">G101/G94</f>
        <v>1.1296512168357138E-3</v>
      </c>
      <c r="H102">
        <f t="shared" ref="H102:J102" ca="1" si="83">H101/H94</f>
        <v>1.2672324967905077E-3</v>
      </c>
      <c r="I102">
        <f t="shared" ca="1" si="83"/>
        <v>1.4215214040001836E-3</v>
      </c>
      <c r="J102">
        <f t="shared" ca="1" si="83"/>
        <v>1.594526075143512E-3</v>
      </c>
      <c r="K102">
        <f ca="1">K101/K94</f>
        <v>1.9103712872014698E-3</v>
      </c>
      <c r="L102">
        <f t="shared" ref="L102:X102" ca="1" si="84">L101/L94</f>
        <v>2.3011595004121437E-3</v>
      </c>
      <c r="M102">
        <f t="shared" ca="1" si="84"/>
        <v>2.7717783429491707E-3</v>
      </c>
      <c r="N102">
        <f t="shared" ca="1" si="84"/>
        <v>3.3384773558018908E-3</v>
      </c>
      <c r="O102">
        <f t="shared" ca="1" si="84"/>
        <v>4.0207827017525359E-3</v>
      </c>
      <c r="P102">
        <f t="shared" ca="1" si="84"/>
        <v>4.8421415043415645E-3</v>
      </c>
      <c r="Q102">
        <f t="shared" ca="1" si="84"/>
        <v>5.8306842841506874E-3</v>
      </c>
      <c r="R102">
        <f t="shared" ca="1" si="84"/>
        <v>7.0201226120111858E-3</v>
      </c>
      <c r="S102">
        <f t="shared" ca="1" si="84"/>
        <v>8.4507991379737177E-3</v>
      </c>
      <c r="T102">
        <f t="shared" ca="1" si="84"/>
        <v>1.0170905629859141E-2</v>
      </c>
      <c r="U102">
        <f t="shared" ca="1" si="84"/>
        <v>1.2237880651786721E-2</v>
      </c>
      <c r="V102">
        <f t="shared" ca="1" si="84"/>
        <v>1.471999081738881E-2</v>
      </c>
      <c r="W102">
        <f t="shared" ca="1" si="84"/>
        <v>1.7698086683520339E-2</v>
      </c>
      <c r="X102">
        <f t="shared" ca="1" si="84"/>
        <v>2.1267504743569643E-2</v>
      </c>
    </row>
    <row r="104" spans="4:25" x14ac:dyDescent="0.25">
      <c r="D104" s="25" t="s">
        <v>408</v>
      </c>
      <c r="E104" t="str">
        <f ca="1">IF(E102&gt;$E$70, "Y", "N")</f>
        <v>N</v>
      </c>
      <c r="F104" t="str">
        <f t="shared" ref="F104:X104" ca="1" si="85">IF(F102&gt;$E$70, "Y", "N")</f>
        <v>N</v>
      </c>
      <c r="G104" t="str">
        <f t="shared" ca="1" si="85"/>
        <v>N</v>
      </c>
      <c r="H104" t="str">
        <f t="shared" ca="1" si="85"/>
        <v>N</v>
      </c>
      <c r="I104" t="str">
        <f t="shared" ca="1" si="85"/>
        <v>N</v>
      </c>
      <c r="J104" t="str">
        <f t="shared" ca="1" si="85"/>
        <v>N</v>
      </c>
      <c r="K104" t="str">
        <f t="shared" ca="1" si="85"/>
        <v>N</v>
      </c>
      <c r="L104" t="str">
        <f t="shared" ca="1" si="85"/>
        <v>N</v>
      </c>
      <c r="M104" t="str">
        <f t="shared" ca="1" si="85"/>
        <v>N</v>
      </c>
      <c r="N104" t="str">
        <f t="shared" ca="1" si="85"/>
        <v>N</v>
      </c>
      <c r="O104" t="str">
        <f t="shared" ca="1" si="85"/>
        <v>N</v>
      </c>
      <c r="P104" t="str">
        <f t="shared" ca="1" si="85"/>
        <v>N</v>
      </c>
      <c r="Q104" t="str">
        <f t="shared" ca="1" si="85"/>
        <v>N</v>
      </c>
      <c r="R104" t="str">
        <f t="shared" ca="1" si="85"/>
        <v>N</v>
      </c>
      <c r="S104" t="str">
        <f t="shared" ca="1" si="85"/>
        <v>N</v>
      </c>
      <c r="T104" t="str">
        <f t="shared" ca="1" si="85"/>
        <v>N</v>
      </c>
      <c r="U104" t="str">
        <f t="shared" ca="1" si="85"/>
        <v>N</v>
      </c>
      <c r="V104" t="str">
        <f t="shared" ca="1" si="85"/>
        <v>N</v>
      </c>
      <c r="W104" t="str">
        <f t="shared" ca="1" si="85"/>
        <v>N</v>
      </c>
      <c r="X104" t="str">
        <f t="shared" ca="1" si="85"/>
        <v>N</v>
      </c>
      <c r="Y104" t="s">
        <v>411</v>
      </c>
    </row>
    <row r="105" spans="4:25" x14ac:dyDescent="0.25">
      <c r="D105" s="25" t="s">
        <v>409</v>
      </c>
      <c r="E105">
        <f ca="1">IF(E104="Y", 1, 0)</f>
        <v>0</v>
      </c>
      <c r="F105">
        <f ca="1">IF(AND(F104="Y", E104="N"),  1, 0)</f>
        <v>0</v>
      </c>
      <c r="G105">
        <f t="shared" ref="G105" ca="1" si="86">IF(AND(G104="Y", F104="N"),  1, 0)</f>
        <v>0</v>
      </c>
      <c r="H105">
        <f t="shared" ref="H105" ca="1" si="87">IF(AND(H104="Y", G104="N"),  1, 0)</f>
        <v>0</v>
      </c>
      <c r="I105">
        <f t="shared" ref="I105" ca="1" si="88">IF(AND(I104="Y", H104="N"),  1, 0)</f>
        <v>0</v>
      </c>
      <c r="J105">
        <f t="shared" ref="J105" ca="1" si="89">IF(AND(J104="Y", I104="N"),  1, 0)</f>
        <v>0</v>
      </c>
      <c r="K105">
        <f t="shared" ref="K105" ca="1" si="90">IF(AND(K104="Y", J104="N"),  1, 0)</f>
        <v>0</v>
      </c>
      <c r="L105">
        <f t="shared" ref="L105" ca="1" si="91">IF(AND(L104="Y", K104="N"),  1, 0)</f>
        <v>0</v>
      </c>
      <c r="M105">
        <f t="shared" ref="M105" ca="1" si="92">IF(AND(M104="Y", L104="N"),  1, 0)</f>
        <v>0</v>
      </c>
      <c r="N105">
        <f t="shared" ref="N105" ca="1" si="93">IF(AND(N104="Y", M104="N"),  1, 0)</f>
        <v>0</v>
      </c>
      <c r="O105">
        <f t="shared" ref="O105" ca="1" si="94">IF(AND(O104="Y", N104="N"),  1, 0)</f>
        <v>0</v>
      </c>
      <c r="P105">
        <f t="shared" ref="P105" ca="1" si="95">IF(AND(P104="Y", O104="N"),  1, 0)</f>
        <v>0</v>
      </c>
      <c r="Q105">
        <f t="shared" ref="Q105" ca="1" si="96">IF(AND(Q104="Y", P104="N"),  1, 0)</f>
        <v>0</v>
      </c>
      <c r="R105">
        <f t="shared" ref="R105" ca="1" si="97">IF(AND(R104="Y", Q104="N"),  1, 0)</f>
        <v>0</v>
      </c>
      <c r="S105">
        <f t="shared" ref="S105" ca="1" si="98">IF(AND(S104="Y", R104="N"),  1, 0)</f>
        <v>0</v>
      </c>
      <c r="T105">
        <f t="shared" ref="T105" ca="1" si="99">IF(AND(T104="Y", S104="N"),  1, 0)</f>
        <v>0</v>
      </c>
      <c r="U105">
        <f t="shared" ref="U105" ca="1" si="100">IF(AND(U104="Y", T104="N"),  1, 0)</f>
        <v>0</v>
      </c>
      <c r="V105">
        <f t="shared" ref="V105" ca="1" si="101">IF(AND(V104="Y", U104="N"),  1, 0)</f>
        <v>0</v>
      </c>
      <c r="W105">
        <f t="shared" ref="W105" ca="1" si="102">IF(AND(W104="Y", V104="N"),  1, 0)</f>
        <v>0</v>
      </c>
      <c r="X105">
        <f t="shared" ref="X105" ca="1" si="103">IF(AND(X104="Y", W104="N"),  1, 0)</f>
        <v>0</v>
      </c>
    </row>
    <row r="106" spans="4:25" x14ac:dyDescent="0.25">
      <c r="D106" s="25" t="s">
        <v>410</v>
      </c>
      <c r="E106">
        <v>0</v>
      </c>
      <c r="F106">
        <f ca="1">IF(AND(F104="Y", G104="N"),  1, 0)</f>
        <v>0</v>
      </c>
      <c r="G106">
        <f t="shared" ref="G106" ca="1" si="104">IF(AND(G104="Y", H104="N"),  1, 0)</f>
        <v>0</v>
      </c>
      <c r="H106">
        <f t="shared" ref="H106" ca="1" si="105">IF(AND(H104="Y", I104="N"),  1, 0)</f>
        <v>0</v>
      </c>
      <c r="I106">
        <f t="shared" ref="I106" ca="1" si="106">IF(AND(I104="Y", J104="N"),  1, 0)</f>
        <v>0</v>
      </c>
      <c r="J106">
        <f t="shared" ref="J106" ca="1" si="107">IF(AND(J104="Y", K104="N"),  1, 0)</f>
        <v>0</v>
      </c>
      <c r="K106">
        <f t="shared" ref="K106" ca="1" si="108">IF(AND(K104="Y", L104="N"),  1, 0)</f>
        <v>0</v>
      </c>
      <c r="L106">
        <f t="shared" ref="L106" ca="1" si="109">IF(AND(L104="Y", M104="N"),  1, 0)</f>
        <v>0</v>
      </c>
      <c r="M106">
        <f t="shared" ref="M106" ca="1" si="110">IF(AND(M104="Y", N104="N"),  1, 0)</f>
        <v>0</v>
      </c>
      <c r="N106">
        <f t="shared" ref="N106" ca="1" si="111">IF(AND(N104="Y", O104="N"),  1, 0)</f>
        <v>0</v>
      </c>
      <c r="O106">
        <f t="shared" ref="O106" ca="1" si="112">IF(AND(O104="Y", P104="N"),  1, 0)</f>
        <v>0</v>
      </c>
      <c r="P106">
        <f t="shared" ref="P106" ca="1" si="113">IF(AND(P104="Y", Q104="N"),  1, 0)</f>
        <v>0</v>
      </c>
      <c r="Q106">
        <f t="shared" ref="Q106" ca="1" si="114">IF(AND(Q104="Y", R104="N"),  1, 0)</f>
        <v>0</v>
      </c>
      <c r="R106">
        <f t="shared" ref="R106" ca="1" si="115">IF(AND(R104="Y", S104="N"),  1, 0)</f>
        <v>0</v>
      </c>
      <c r="S106">
        <f t="shared" ref="S106" ca="1" si="116">IF(AND(S104="Y", T104="N"),  1, 0)</f>
        <v>0</v>
      </c>
      <c r="T106">
        <f t="shared" ref="T106" ca="1" si="117">IF(AND(T104="Y", U104="N"),  1, 0)</f>
        <v>0</v>
      </c>
      <c r="U106">
        <f t="shared" ref="U106" ca="1" si="118">IF(AND(U104="Y", V104="N"),  1, 0)</f>
        <v>0</v>
      </c>
      <c r="V106">
        <f t="shared" ref="V106" ca="1" si="119">IF(AND(V104="Y", W104="N"),  1, 0)</f>
        <v>0</v>
      </c>
      <c r="W106">
        <f t="shared" ref="W106" ca="1" si="120">IF(AND(W104="Y", X104="N"),  1, 0)</f>
        <v>0</v>
      </c>
      <c r="X106">
        <f t="shared" ref="X106" ca="1" si="121">IF(AND(X104="Y", Y104="N"),  1, 0)</f>
        <v>0</v>
      </c>
    </row>
    <row r="108" spans="4:25" x14ac:dyDescent="0.25">
      <c r="D108" t="s">
        <v>412</v>
      </c>
      <c r="E108">
        <f ca="1">E105*E85</f>
        <v>0</v>
      </c>
      <c r="F108">
        <f t="shared" ref="F108:X108" ca="1" si="122">F105*F85</f>
        <v>0</v>
      </c>
      <c r="G108">
        <f t="shared" ca="1" si="122"/>
        <v>0</v>
      </c>
      <c r="H108">
        <f t="shared" ca="1" si="122"/>
        <v>0</v>
      </c>
      <c r="I108">
        <f t="shared" ca="1" si="122"/>
        <v>0</v>
      </c>
      <c r="J108">
        <f t="shared" ca="1" si="122"/>
        <v>0</v>
      </c>
      <c r="K108">
        <f t="shared" ca="1" si="122"/>
        <v>0</v>
      </c>
      <c r="L108">
        <f t="shared" ca="1" si="122"/>
        <v>0</v>
      </c>
      <c r="M108">
        <f t="shared" ca="1" si="122"/>
        <v>0</v>
      </c>
      <c r="N108">
        <f t="shared" ca="1" si="122"/>
        <v>0</v>
      </c>
      <c r="O108">
        <f t="shared" ca="1" si="122"/>
        <v>0</v>
      </c>
      <c r="P108">
        <f t="shared" ca="1" si="122"/>
        <v>0</v>
      </c>
      <c r="Q108">
        <f t="shared" ca="1" si="122"/>
        <v>0</v>
      </c>
      <c r="R108">
        <f t="shared" ca="1" si="122"/>
        <v>0</v>
      </c>
      <c r="S108">
        <f t="shared" ca="1" si="122"/>
        <v>0</v>
      </c>
      <c r="T108">
        <f t="shared" ca="1" si="122"/>
        <v>0</v>
      </c>
      <c r="U108">
        <f t="shared" ca="1" si="122"/>
        <v>0</v>
      </c>
      <c r="V108">
        <f t="shared" ca="1" si="122"/>
        <v>0</v>
      </c>
      <c r="W108">
        <f t="shared" ca="1" si="122"/>
        <v>0</v>
      </c>
      <c r="X108">
        <f t="shared" ca="1" si="122"/>
        <v>0</v>
      </c>
    </row>
    <row r="109" spans="4:25" x14ac:dyDescent="0.25">
      <c r="D109" t="s">
        <v>413</v>
      </c>
      <c r="E109">
        <f>E85*E106</f>
        <v>0</v>
      </c>
      <c r="F109">
        <f t="shared" ref="F109:X109" ca="1" si="123">F85*F106</f>
        <v>0</v>
      </c>
      <c r="G109">
        <f t="shared" ca="1" si="123"/>
        <v>0</v>
      </c>
      <c r="H109">
        <f t="shared" ca="1" si="123"/>
        <v>0</v>
      </c>
      <c r="I109">
        <f t="shared" ca="1" si="123"/>
        <v>0</v>
      </c>
      <c r="J109">
        <f t="shared" ca="1" si="123"/>
        <v>0</v>
      </c>
      <c r="K109">
        <f t="shared" ca="1" si="123"/>
        <v>0</v>
      </c>
      <c r="L109">
        <f t="shared" ca="1" si="123"/>
        <v>0</v>
      </c>
      <c r="M109">
        <f t="shared" ca="1" si="123"/>
        <v>0</v>
      </c>
      <c r="N109">
        <f t="shared" ca="1" si="123"/>
        <v>0</v>
      </c>
      <c r="O109">
        <f t="shared" ca="1" si="123"/>
        <v>0</v>
      </c>
      <c r="P109">
        <f t="shared" ca="1" si="123"/>
        <v>0</v>
      </c>
      <c r="Q109">
        <f t="shared" ca="1" si="123"/>
        <v>0</v>
      </c>
      <c r="R109">
        <f t="shared" ca="1" si="123"/>
        <v>0</v>
      </c>
      <c r="S109">
        <f t="shared" ca="1" si="123"/>
        <v>0</v>
      </c>
      <c r="T109">
        <f t="shared" ca="1" si="123"/>
        <v>0</v>
      </c>
      <c r="U109">
        <f t="shared" ca="1" si="123"/>
        <v>0</v>
      </c>
      <c r="V109">
        <f t="shared" ca="1" si="123"/>
        <v>0</v>
      </c>
      <c r="W109">
        <f t="shared" ca="1" si="123"/>
        <v>0</v>
      </c>
      <c r="X109">
        <f t="shared" ca="1" si="123"/>
        <v>0</v>
      </c>
    </row>
    <row r="115" spans="4:13" ht="24.6" x14ac:dyDescent="0.4">
      <c r="D115" s="272" t="s">
        <v>640</v>
      </c>
    </row>
    <row r="116" spans="4:13" x14ac:dyDescent="0.25">
      <c r="D116" s="25"/>
    </row>
    <row r="117" spans="4:13" ht="13.8" x14ac:dyDescent="0.3">
      <c r="D117" s="70" t="s">
        <v>405</v>
      </c>
      <c r="I117" s="26" t="s">
        <v>553</v>
      </c>
      <c r="J117">
        <f>'Design Calculator'!H56</f>
        <v>175</v>
      </c>
      <c r="K117" s="25" t="s">
        <v>631</v>
      </c>
    </row>
    <row r="118" spans="4:13" x14ac:dyDescent="0.25">
      <c r="D118" s="25" t="s">
        <v>403</v>
      </c>
      <c r="E118">
        <f>SOA!H123</f>
        <v>50</v>
      </c>
    </row>
    <row r="119" spans="4:13" x14ac:dyDescent="0.25">
      <c r="D119" s="25" t="s">
        <v>388</v>
      </c>
      <c r="E119">
        <v>1.5</v>
      </c>
      <c r="I119" s="66" t="s">
        <v>397</v>
      </c>
      <c r="K119" s="16"/>
      <c r="L119" s="16"/>
      <c r="M119" s="16"/>
    </row>
    <row r="120" spans="4:13" x14ac:dyDescent="0.25">
      <c r="D120" s="25" t="s">
        <v>380</v>
      </c>
      <c r="E120">
        <f>1/2*COUTMAX*VINMAX^2*0.000001</f>
        <v>539</v>
      </c>
      <c r="J120" s="70" t="s">
        <v>632</v>
      </c>
      <c r="K120" s="176" t="s">
        <v>398</v>
      </c>
      <c r="L120" s="176" t="s">
        <v>642</v>
      </c>
      <c r="M120" s="176" t="s">
        <v>634</v>
      </c>
    </row>
    <row r="121" spans="4:13" x14ac:dyDescent="0.25">
      <c r="D121" s="25" t="s">
        <v>382</v>
      </c>
      <c r="E121">
        <f>MAX(Equations!H62-E120,0)</f>
        <v>17.242418639053199</v>
      </c>
      <c r="I121" s="66" t="s">
        <v>399</v>
      </c>
      <c r="J121" s="66">
        <v>0.01</v>
      </c>
      <c r="K121" s="1">
        <v>0.1</v>
      </c>
      <c r="L121" s="1">
        <v>1</v>
      </c>
      <c r="M121" s="1">
        <v>10</v>
      </c>
    </row>
    <row r="122" spans="4:13" x14ac:dyDescent="0.25">
      <c r="D122" s="25" t="s">
        <v>383</v>
      </c>
      <c r="E122">
        <f>Equations!H61</f>
        <v>350</v>
      </c>
      <c r="I122" s="66" t="s">
        <v>400</v>
      </c>
      <c r="J122" s="1">
        <v>0.1</v>
      </c>
      <c r="K122" s="1">
        <v>1</v>
      </c>
      <c r="L122" s="1">
        <v>10</v>
      </c>
      <c r="M122" s="1">
        <v>100</v>
      </c>
    </row>
    <row r="123" spans="4:13" x14ac:dyDescent="0.25">
      <c r="I123" s="66" t="s">
        <v>179</v>
      </c>
      <c r="J123" s="1">
        <f>SOA!C131</f>
        <v>25</v>
      </c>
      <c r="K123" s="1">
        <f>SOA!D131</f>
        <v>20</v>
      </c>
      <c r="L123" s="1">
        <f>SOA!E131</f>
        <v>20</v>
      </c>
      <c r="M123" s="1">
        <f>SOA!F131</f>
        <v>25.000000000000011</v>
      </c>
    </row>
    <row r="124" spans="4:13" x14ac:dyDescent="0.25">
      <c r="D124" t="s">
        <v>185</v>
      </c>
      <c r="E124">
        <f>'Design Calculator'!F27</f>
        <v>40</v>
      </c>
      <c r="I124" s="66" t="s">
        <v>180</v>
      </c>
      <c r="J124" s="16">
        <f>SOA!C132</f>
        <v>-0.6020599913279624</v>
      </c>
      <c r="K124" s="16">
        <f>SOA!D132</f>
        <v>-0.69897000433601886</v>
      </c>
      <c r="L124" s="16">
        <f>SOA!E132</f>
        <v>-0.6020599913279624</v>
      </c>
      <c r="M124" s="16">
        <f>SOA!F132</f>
        <v>-0.69897000433601886</v>
      </c>
    </row>
    <row r="125" spans="4:13" x14ac:dyDescent="0.25">
      <c r="D125" t="s">
        <v>130</v>
      </c>
      <c r="E125" t="str">
        <f>'Design Calculator'!F28</f>
        <v>Constant Current</v>
      </c>
    </row>
    <row r="126" spans="4:13" x14ac:dyDescent="0.25">
      <c r="D126" t="s">
        <v>131</v>
      </c>
      <c r="E126">
        <f>'Design Calculator'!F29</f>
        <v>10</v>
      </c>
      <c r="I126" s="172" t="s">
        <v>416</v>
      </c>
      <c r="J126" s="70" t="s">
        <v>144</v>
      </c>
    </row>
    <row r="127" spans="4:13" x14ac:dyDescent="0.25">
      <c r="G127" t="s">
        <v>414</v>
      </c>
      <c r="I127" s="3">
        <f>SUM(E157:X157)</f>
        <v>0</v>
      </c>
      <c r="J127" s="3" t="str">
        <f>IF(I127=0, "NA", I127/AVERAGE(1, E131))</f>
        <v>NA</v>
      </c>
    </row>
    <row r="128" spans="4:13" x14ac:dyDescent="0.25">
      <c r="D128" s="25" t="s">
        <v>445</v>
      </c>
      <c r="E128">
        <f>12/1</f>
        <v>12</v>
      </c>
      <c r="G128" t="s">
        <v>415</v>
      </c>
      <c r="I128" s="3">
        <f>SUM(E158:X158)</f>
        <v>0</v>
      </c>
      <c r="J128" s="3" t="str">
        <f>IF(I128=0, "NA", I128*AVERAGE(1,E131))</f>
        <v>NA</v>
      </c>
    </row>
    <row r="129" spans="4:24" x14ac:dyDescent="0.25">
      <c r="D129" s="25" t="s">
        <v>446</v>
      </c>
      <c r="E129">
        <v>0.12</v>
      </c>
    </row>
    <row r="130" spans="4:24" x14ac:dyDescent="0.25">
      <c r="D130" s="25" t="s">
        <v>406</v>
      </c>
      <c r="E130">
        <v>20</v>
      </c>
    </row>
    <row r="131" spans="4:24" x14ac:dyDescent="0.25">
      <c r="D131" s="25" t="s">
        <v>407</v>
      </c>
      <c r="E131">
        <f>(E129/E128)^(1/(E130-1))</f>
        <v>0.78475997035146128</v>
      </c>
    </row>
    <row r="132" spans="4:24" x14ac:dyDescent="0.25">
      <c r="D132" s="25"/>
    </row>
    <row r="133" spans="4:24" x14ac:dyDescent="0.25">
      <c r="E133">
        <v>1</v>
      </c>
      <c r="F133">
        <v>2</v>
      </c>
      <c r="G133">
        <v>3</v>
      </c>
      <c r="H133">
        <v>4</v>
      </c>
      <c r="I133">
        <v>5</v>
      </c>
      <c r="J133">
        <v>6</v>
      </c>
      <c r="K133">
        <v>7</v>
      </c>
      <c r="L133">
        <v>8</v>
      </c>
      <c r="M133">
        <v>9</v>
      </c>
      <c r="N133">
        <v>10</v>
      </c>
      <c r="O133">
        <v>11</v>
      </c>
      <c r="P133">
        <v>12</v>
      </c>
      <c r="Q133">
        <v>13</v>
      </c>
      <c r="R133">
        <v>14</v>
      </c>
      <c r="S133">
        <v>15</v>
      </c>
      <c r="T133">
        <v>16</v>
      </c>
      <c r="U133">
        <v>17</v>
      </c>
      <c r="V133">
        <v>18</v>
      </c>
      <c r="W133">
        <v>19</v>
      </c>
      <c r="X133">
        <v>20</v>
      </c>
    </row>
    <row r="134" spans="4:24" x14ac:dyDescent="0.25">
      <c r="D134" s="175" t="s">
        <v>381</v>
      </c>
      <c r="E134" s="175">
        <f>E128</f>
        <v>12</v>
      </c>
      <c r="F134" s="175">
        <f>E134*$E$33</f>
        <v>9.4171196442175358</v>
      </c>
      <c r="G134" s="175">
        <f t="shared" ref="G134" si="124">F134*$E$33</f>
        <v>7.3901785327923166</v>
      </c>
      <c r="H134" s="175">
        <f t="shared" ref="H134" si="125">G134*$E$33</f>
        <v>5.7995162862861038</v>
      </c>
      <c r="I134" s="175">
        <f t="shared" ref="I134" si="126">H134*$E$33</f>
        <v>4.5512282288787</v>
      </c>
      <c r="J134" s="175">
        <f t="shared" ref="J134" si="127">I134*$E$33</f>
        <v>3.5716217299575823</v>
      </c>
      <c r="K134" s="175">
        <f t="shared" ref="K134" si="128">J134*$E$33</f>
        <v>2.802865762908147</v>
      </c>
      <c r="L134" s="175">
        <f t="shared" ref="L134" si="129">K134*$E$33</f>
        <v>2.1995768529989235</v>
      </c>
      <c r="M134" s="175">
        <f t="shared" ref="M134" si="130">L134*$E$33</f>
        <v>1.7261398659451956</v>
      </c>
      <c r="N134" s="175">
        <f t="shared" ref="N134" si="131">M134*$E$33</f>
        <v>1.354605470021627</v>
      </c>
      <c r="O134" s="175">
        <f t="shared" ref="O134" si="132">N134*$E$33</f>
        <v>1.0630401484920993</v>
      </c>
      <c r="P134" s="175">
        <f t="shared" ref="P134" si="133">O134*$E$33</f>
        <v>0.83423135541307281</v>
      </c>
      <c r="Q134" s="175">
        <f t="shared" ref="Q134" si="134">P134*$E$33</f>
        <v>0.65467137374022233</v>
      </c>
      <c r="R134" s="175">
        <f t="shared" ref="R134" si="135">Q134*$E$33</f>
        <v>0.51375988784632731</v>
      </c>
      <c r="S134" s="175">
        <f t="shared" ref="S134" si="136">R134*$E$33</f>
        <v>0.40317819435405389</v>
      </c>
      <c r="T134" s="175">
        <f t="shared" ref="T134" si="137">S134*$E$33</f>
        <v>0.316398107847643</v>
      </c>
      <c r="U134" s="175">
        <f t="shared" ref="U134" si="138">T134*$E$33</f>
        <v>0.24829656973377476</v>
      </c>
      <c r="V134" s="175">
        <f t="shared" ref="V134" si="139">U134*$E$33</f>
        <v>0.19485320870264661</v>
      </c>
      <c r="W134" s="175">
        <f t="shared" ref="W134" si="140">V134*$E$33</f>
        <v>0.15291299828437604</v>
      </c>
      <c r="X134" s="175">
        <f t="shared" ref="X134" si="141">W134*$E$33</f>
        <v>0.12</v>
      </c>
    </row>
    <row r="135" spans="4:24" x14ac:dyDescent="0.25">
      <c r="D135" s="25" t="s">
        <v>384</v>
      </c>
      <c r="E135">
        <f t="shared" ref="E135:X135" si="142">VINMAX/E134</f>
        <v>5.833333333333333</v>
      </c>
      <c r="F135">
        <f t="shared" si="142"/>
        <v>7.4332707499349464</v>
      </c>
      <c r="G135">
        <f t="shared" si="142"/>
        <v>9.4720309786008769</v>
      </c>
      <c r="H135">
        <f t="shared" si="142"/>
        <v>12.069972139836272</v>
      </c>
      <c r="I135">
        <f t="shared" si="142"/>
        <v>15.380463575927088</v>
      </c>
      <c r="J135">
        <f t="shared" si="142"/>
        <v>19.59894000332206</v>
      </c>
      <c r="K135">
        <f t="shared" si="142"/>
        <v>24.974438992529794</v>
      </c>
      <c r="L135">
        <f t="shared" si="142"/>
        <v>31.824302890149688</v>
      </c>
      <c r="M135">
        <f t="shared" si="142"/>
        <v>40.552913110357693</v>
      </c>
      <c r="N135">
        <f t="shared" si="142"/>
        <v>51.675562773921484</v>
      </c>
      <c r="O135">
        <f t="shared" si="142"/>
        <v>65.848877014940186</v>
      </c>
      <c r="P135">
        <f t="shared" si="142"/>
        <v>83.90957681678033</v>
      </c>
      <c r="Q135">
        <f t="shared" si="142"/>
        <v>106.92387479855876</v>
      </c>
      <c r="R135">
        <f t="shared" si="142"/>
        <v>136.25041903025712</v>
      </c>
      <c r="S135">
        <f t="shared" si="142"/>
        <v>173.62050076182689</v>
      </c>
      <c r="T135">
        <f t="shared" si="142"/>
        <v>221.2402611260479</v>
      </c>
      <c r="U135">
        <f t="shared" si="142"/>
        <v>281.92093058335229</v>
      </c>
      <c r="V135">
        <f t="shared" si="142"/>
        <v>359.24478978851539</v>
      </c>
      <c r="W135">
        <f t="shared" si="142"/>
        <v>457.77664937168578</v>
      </c>
      <c r="X135">
        <f t="shared" si="142"/>
        <v>583.33333333333337</v>
      </c>
    </row>
    <row r="136" spans="4:24" x14ac:dyDescent="0.25">
      <c r="D136" s="25" t="s">
        <v>385</v>
      </c>
      <c r="E136">
        <f t="shared" ref="E136:X136" si="143">E134*COUTMAX/1000</f>
        <v>2640</v>
      </c>
      <c r="F136">
        <f t="shared" si="143"/>
        <v>2071.7663217278578</v>
      </c>
      <c r="G136">
        <f t="shared" si="143"/>
        <v>1625.8392772143097</v>
      </c>
      <c r="H136">
        <f t="shared" si="143"/>
        <v>1275.8935829829429</v>
      </c>
      <c r="I136">
        <f t="shared" si="143"/>
        <v>1001.270210353314</v>
      </c>
      <c r="J136">
        <f t="shared" si="143"/>
        <v>785.75678059066809</v>
      </c>
      <c r="K136">
        <f t="shared" si="143"/>
        <v>616.63046783979235</v>
      </c>
      <c r="L136">
        <f t="shared" si="143"/>
        <v>483.90690765976319</v>
      </c>
      <c r="M136">
        <f t="shared" si="143"/>
        <v>379.75077050794306</v>
      </c>
      <c r="N136">
        <f t="shared" si="143"/>
        <v>298.01320340475797</v>
      </c>
      <c r="O136">
        <f t="shared" si="143"/>
        <v>233.86883266826183</v>
      </c>
      <c r="P136">
        <f t="shared" si="143"/>
        <v>183.530898190876</v>
      </c>
      <c r="Q136">
        <f t="shared" si="143"/>
        <v>144.02770222284892</v>
      </c>
      <c r="R136">
        <f t="shared" si="143"/>
        <v>113.02717532619201</v>
      </c>
      <c r="S136">
        <f t="shared" si="143"/>
        <v>88.699202757891854</v>
      </c>
      <c r="T136">
        <f t="shared" si="143"/>
        <v>69.607583726481465</v>
      </c>
      <c r="U136">
        <f t="shared" si="143"/>
        <v>54.62524534143045</v>
      </c>
      <c r="V136">
        <f t="shared" si="143"/>
        <v>42.86770591458226</v>
      </c>
      <c r="W136">
        <f t="shared" si="143"/>
        <v>33.640859622562736</v>
      </c>
      <c r="X136">
        <f t="shared" si="143"/>
        <v>26.4</v>
      </c>
    </row>
    <row r="137" spans="4:24" x14ac:dyDescent="0.25">
      <c r="D137" s="25" t="s">
        <v>386</v>
      </c>
      <c r="E137">
        <f>$E$120+$E$121*E135/$E$122</f>
        <v>539.28737364398421</v>
      </c>
      <c r="F137">
        <f t="shared" ref="F137:X137" si="144">$E$120+$E$121*F135/$E$122</f>
        <v>539.3661930460795</v>
      </c>
      <c r="G137">
        <f t="shared" si="144"/>
        <v>539.46663063855749</v>
      </c>
      <c r="H137">
        <f t="shared" si="144"/>
        <v>539.59461575027649</v>
      </c>
      <c r="I137">
        <f t="shared" si="144"/>
        <v>539.75770397668236</v>
      </c>
      <c r="J137">
        <f t="shared" si="144"/>
        <v>539.96552322405421</v>
      </c>
      <c r="K137">
        <f t="shared" si="144"/>
        <v>540.23034209252774</v>
      </c>
      <c r="L137">
        <f t="shared" si="144"/>
        <v>540.56779415236565</v>
      </c>
      <c r="M137">
        <f t="shared" si="144"/>
        <v>540.99780087109127</v>
      </c>
      <c r="N137">
        <f t="shared" si="144"/>
        <v>541.54574767644749</v>
      </c>
      <c r="O137">
        <f t="shared" si="144"/>
        <v>542.2439825840089</v>
      </c>
      <c r="P137">
        <f t="shared" si="144"/>
        <v>543.13372586085916</v>
      </c>
      <c r="Q137">
        <f t="shared" si="144"/>
        <v>544.26750346224708</v>
      </c>
      <c r="R137">
        <f t="shared" si="144"/>
        <v>545.71224789904602</v>
      </c>
      <c r="S137">
        <f t="shared" si="144"/>
        <v>547.55324959559277</v>
      </c>
      <c r="T137">
        <f t="shared" si="144"/>
        <v>549.89919200613929</v>
      </c>
      <c r="U137">
        <f t="shared" si="144"/>
        <v>552.88856773779889</v>
      </c>
      <c r="V137">
        <f t="shared" si="144"/>
        <v>556.69785445552066</v>
      </c>
      <c r="W137">
        <f t="shared" si="144"/>
        <v>561.55193323328479</v>
      </c>
      <c r="X137">
        <f t="shared" si="144"/>
        <v>567.73736439842196</v>
      </c>
    </row>
    <row r="138" spans="4:24" x14ac:dyDescent="0.25">
      <c r="D138" s="25" t="s">
        <v>389</v>
      </c>
      <c r="E138">
        <f t="shared" ref="E138:X138" si="145">(E136+IF($E$125="Resistive",0,IF($E$124=0,$E$126,0)))*VINMAX</f>
        <v>184800</v>
      </c>
      <c r="F138">
        <f t="shared" si="145"/>
        <v>145023.64252095003</v>
      </c>
      <c r="G138">
        <f t="shared" si="145"/>
        <v>113808.74940500168</v>
      </c>
      <c r="H138">
        <f t="shared" si="145"/>
        <v>89312.550808806001</v>
      </c>
      <c r="I138">
        <f t="shared" si="145"/>
        <v>70088.914724731978</v>
      </c>
      <c r="J138">
        <f t="shared" si="145"/>
        <v>55002.974641346766</v>
      </c>
      <c r="K138">
        <f t="shared" si="145"/>
        <v>43164.132748785465</v>
      </c>
      <c r="L138">
        <f t="shared" si="145"/>
        <v>33873.483536183427</v>
      </c>
      <c r="M138">
        <f t="shared" si="145"/>
        <v>26582.553935556014</v>
      </c>
      <c r="N138">
        <f t="shared" si="145"/>
        <v>20860.924238333057</v>
      </c>
      <c r="O138">
        <f t="shared" si="145"/>
        <v>16370.818286778329</v>
      </c>
      <c r="P138">
        <f t="shared" si="145"/>
        <v>12847.16287336132</v>
      </c>
      <c r="Q138">
        <f t="shared" si="145"/>
        <v>10081.939155599424</v>
      </c>
      <c r="R138">
        <f t="shared" si="145"/>
        <v>7911.9022728334403</v>
      </c>
      <c r="S138">
        <f t="shared" si="145"/>
        <v>6208.9441930524299</v>
      </c>
      <c r="T138">
        <f t="shared" si="145"/>
        <v>4872.5308608537025</v>
      </c>
      <c r="U138">
        <f t="shared" si="145"/>
        <v>3823.7671739001316</v>
      </c>
      <c r="V138">
        <f t="shared" si="145"/>
        <v>3000.739414020758</v>
      </c>
      <c r="W138">
        <f t="shared" si="145"/>
        <v>2354.8601735793914</v>
      </c>
      <c r="X138">
        <f t="shared" si="145"/>
        <v>1848</v>
      </c>
    </row>
    <row r="139" spans="4:24" x14ac:dyDescent="0.25">
      <c r="D139" s="25" t="s">
        <v>387</v>
      </c>
      <c r="E139">
        <f t="shared" ref="E139:X139" si="146">(E136+IF($E$125="Resistive", $E$124/$E$126,$E$126)) *(VINMAX-$E$124)</f>
        <v>79500</v>
      </c>
      <c r="F139">
        <f t="shared" si="146"/>
        <v>62452.989651835735</v>
      </c>
      <c r="G139">
        <f t="shared" si="146"/>
        <v>49075.178316429294</v>
      </c>
      <c r="H139">
        <f t="shared" si="146"/>
        <v>38576.807489488288</v>
      </c>
      <c r="I139">
        <f t="shared" si="146"/>
        <v>30338.106310599422</v>
      </c>
      <c r="J139">
        <f t="shared" si="146"/>
        <v>23872.703417720044</v>
      </c>
      <c r="K139">
        <f t="shared" si="146"/>
        <v>18798.914035193771</v>
      </c>
      <c r="L139">
        <f t="shared" si="146"/>
        <v>14817.207229792895</v>
      </c>
      <c r="M139">
        <f t="shared" si="146"/>
        <v>11692.523115238291</v>
      </c>
      <c r="N139">
        <f t="shared" si="146"/>
        <v>9240.3961021427385</v>
      </c>
      <c r="O139">
        <f t="shared" si="146"/>
        <v>7316.064980047855</v>
      </c>
      <c r="P139">
        <f t="shared" si="146"/>
        <v>5805.9269457262799</v>
      </c>
      <c r="Q139">
        <f t="shared" si="146"/>
        <v>4620.8310666854677</v>
      </c>
      <c r="R139">
        <f t="shared" si="146"/>
        <v>3690.8152597857602</v>
      </c>
      <c r="S139">
        <f t="shared" si="146"/>
        <v>2960.9760827367554</v>
      </c>
      <c r="T139">
        <f t="shared" si="146"/>
        <v>2388.2275117944441</v>
      </c>
      <c r="U139">
        <f t="shared" si="146"/>
        <v>1938.7573602429138</v>
      </c>
      <c r="V139">
        <f t="shared" si="146"/>
        <v>1586.0311774374677</v>
      </c>
      <c r="W139">
        <f t="shared" si="146"/>
        <v>1309.2257886768821</v>
      </c>
      <c r="X139">
        <f t="shared" si="146"/>
        <v>1092</v>
      </c>
    </row>
    <row r="140" spans="4:24" x14ac:dyDescent="0.25">
      <c r="D140" s="25" t="s">
        <v>392</v>
      </c>
      <c r="E140">
        <f t="shared" ref="E140:X140" si="147">IF($E$125="Resistive", -$E$126*E136/2 + VINMAX/2, -1)</f>
        <v>-1</v>
      </c>
      <c r="F140">
        <f t="shared" si="147"/>
        <v>-1</v>
      </c>
      <c r="G140">
        <f t="shared" si="147"/>
        <v>-1</v>
      </c>
      <c r="H140">
        <f t="shared" si="147"/>
        <v>-1</v>
      </c>
      <c r="I140">
        <f t="shared" si="147"/>
        <v>-1</v>
      </c>
      <c r="J140">
        <f t="shared" si="147"/>
        <v>-1</v>
      </c>
      <c r="K140">
        <f t="shared" si="147"/>
        <v>-1</v>
      </c>
      <c r="L140">
        <f t="shared" si="147"/>
        <v>-1</v>
      </c>
      <c r="M140">
        <f t="shared" si="147"/>
        <v>-1</v>
      </c>
      <c r="N140">
        <f t="shared" si="147"/>
        <v>-1</v>
      </c>
      <c r="O140">
        <f t="shared" si="147"/>
        <v>-1</v>
      </c>
      <c r="P140">
        <f t="shared" si="147"/>
        <v>-1</v>
      </c>
      <c r="Q140">
        <f t="shared" si="147"/>
        <v>-1</v>
      </c>
      <c r="R140">
        <f t="shared" si="147"/>
        <v>-1</v>
      </c>
      <c r="S140">
        <f t="shared" si="147"/>
        <v>-1</v>
      </c>
      <c r="T140">
        <f t="shared" si="147"/>
        <v>-1</v>
      </c>
      <c r="U140">
        <f t="shared" si="147"/>
        <v>-1</v>
      </c>
      <c r="V140">
        <f t="shared" si="147"/>
        <v>-1</v>
      </c>
      <c r="W140">
        <f t="shared" si="147"/>
        <v>-1</v>
      </c>
      <c r="X140">
        <f t="shared" si="147"/>
        <v>-1</v>
      </c>
    </row>
    <row r="141" spans="4:24" x14ac:dyDescent="0.25">
      <c r="D141" s="25" t="s">
        <v>394</v>
      </c>
      <c r="E141">
        <f t="shared" ref="E141:X141" si="148">IF(AND(E140&lt;VINMAX, E140&gt;$E$124), (VINMAX-E140)*(E136+E140/$E$126), 0)</f>
        <v>0</v>
      </c>
      <c r="F141">
        <f t="shared" si="148"/>
        <v>0</v>
      </c>
      <c r="G141">
        <f t="shared" si="148"/>
        <v>0</v>
      </c>
      <c r="H141">
        <f t="shared" si="148"/>
        <v>0</v>
      </c>
      <c r="I141">
        <f t="shared" si="148"/>
        <v>0</v>
      </c>
      <c r="J141">
        <f t="shared" si="148"/>
        <v>0</v>
      </c>
      <c r="K141">
        <f t="shared" si="148"/>
        <v>0</v>
      </c>
      <c r="L141">
        <f t="shared" si="148"/>
        <v>0</v>
      </c>
      <c r="M141">
        <f t="shared" si="148"/>
        <v>0</v>
      </c>
      <c r="N141">
        <f t="shared" si="148"/>
        <v>0</v>
      </c>
      <c r="O141">
        <f t="shared" si="148"/>
        <v>0</v>
      </c>
      <c r="P141">
        <f t="shared" si="148"/>
        <v>0</v>
      </c>
      <c r="Q141">
        <f t="shared" si="148"/>
        <v>0</v>
      </c>
      <c r="R141">
        <f t="shared" si="148"/>
        <v>0</v>
      </c>
      <c r="S141">
        <f t="shared" si="148"/>
        <v>0</v>
      </c>
      <c r="T141">
        <f t="shared" si="148"/>
        <v>0</v>
      </c>
      <c r="U141">
        <f t="shared" si="148"/>
        <v>0</v>
      </c>
      <c r="V141">
        <f t="shared" si="148"/>
        <v>0</v>
      </c>
      <c r="W141">
        <f t="shared" si="148"/>
        <v>0</v>
      </c>
      <c r="X141">
        <f t="shared" si="148"/>
        <v>0</v>
      </c>
    </row>
    <row r="143" spans="4:24" x14ac:dyDescent="0.25">
      <c r="D143" s="25" t="s">
        <v>395</v>
      </c>
      <c r="E143">
        <f>MAX(E138,E139,E141)</f>
        <v>184800</v>
      </c>
      <c r="F143">
        <f>MAX(F138,F139,F141)</f>
        <v>145023.64252095003</v>
      </c>
      <c r="G143">
        <f>MAX(G138,G139,G141)</f>
        <v>113808.74940500168</v>
      </c>
      <c r="H143">
        <f t="shared" ref="H143:J143" si="149">MAX(H138,H139,H141)</f>
        <v>89312.550808806001</v>
      </c>
      <c r="I143">
        <f t="shared" si="149"/>
        <v>70088.914724731978</v>
      </c>
      <c r="J143">
        <f t="shared" si="149"/>
        <v>55002.974641346766</v>
      </c>
      <c r="K143">
        <f>MAX(K138,K139,K141)</f>
        <v>43164.132748785465</v>
      </c>
      <c r="L143">
        <f t="shared" ref="L143:X143" si="150">MAX(L138,L139,L141)</f>
        <v>33873.483536183427</v>
      </c>
      <c r="M143">
        <f t="shared" si="150"/>
        <v>26582.553935556014</v>
      </c>
      <c r="N143">
        <f t="shared" si="150"/>
        <v>20860.924238333057</v>
      </c>
      <c r="O143">
        <f t="shared" si="150"/>
        <v>16370.818286778329</v>
      </c>
      <c r="P143">
        <f t="shared" si="150"/>
        <v>12847.16287336132</v>
      </c>
      <c r="Q143">
        <f t="shared" si="150"/>
        <v>10081.939155599424</v>
      </c>
      <c r="R143">
        <f t="shared" si="150"/>
        <v>7911.9022728334403</v>
      </c>
      <c r="S143">
        <f t="shared" si="150"/>
        <v>6208.9441930524299</v>
      </c>
      <c r="T143">
        <f t="shared" si="150"/>
        <v>4872.5308608537025</v>
      </c>
      <c r="U143">
        <f t="shared" si="150"/>
        <v>3823.7671739001316</v>
      </c>
      <c r="V143">
        <f t="shared" si="150"/>
        <v>3000.739414020758</v>
      </c>
      <c r="W143">
        <f t="shared" si="150"/>
        <v>2354.8601735793914</v>
      </c>
      <c r="X143">
        <f t="shared" si="150"/>
        <v>1848</v>
      </c>
    </row>
    <row r="144" spans="4:24" x14ac:dyDescent="0.25">
      <c r="D144" s="25" t="s">
        <v>396</v>
      </c>
      <c r="E144">
        <f>E137/E143*1000</f>
        <v>2.9182217188527284</v>
      </c>
      <c r="F144">
        <f>F137/F143*1000</f>
        <v>3.7191604325354257</v>
      </c>
      <c r="G144">
        <f>G137/G143*1000</f>
        <v>4.7401156190443912</v>
      </c>
      <c r="H144">
        <f t="shared" ref="H144:J144" si="151">H137/H143*1000</f>
        <v>6.0416437652240225</v>
      </c>
      <c r="I144">
        <f t="shared" si="151"/>
        <v>7.7010423987378473</v>
      </c>
      <c r="J144">
        <f t="shared" si="151"/>
        <v>9.8170240199727665</v>
      </c>
      <c r="K144">
        <f>K137/K143*1000</f>
        <v>12.51572330287879</v>
      </c>
      <c r="L144">
        <f t="shared" ref="L144:X144" si="152">L137/L143*1000</f>
        <v>15.958435263232811</v>
      </c>
      <c r="M144">
        <f t="shared" si="152"/>
        <v>20.351611142504602</v>
      </c>
      <c r="N144">
        <f t="shared" si="152"/>
        <v>25.959815657703622</v>
      </c>
      <c r="O144">
        <f t="shared" si="152"/>
        <v>33.122594917686243</v>
      </c>
      <c r="P144">
        <f t="shared" si="152"/>
        <v>42.276550178020287</v>
      </c>
      <c r="Q144">
        <f t="shared" si="152"/>
        <v>53.984406676364983</v>
      </c>
      <c r="R144">
        <f t="shared" si="152"/>
        <v>68.973582974200909</v>
      </c>
      <c r="S144">
        <f t="shared" si="152"/>
        <v>88.187819469900191</v>
      </c>
      <c r="T144">
        <f t="shared" si="152"/>
        <v>112.85699520634601</v>
      </c>
      <c r="U144">
        <f t="shared" si="152"/>
        <v>144.59263406821617</v>
      </c>
      <c r="V144">
        <f t="shared" si="152"/>
        <v>185.520226066411</v>
      </c>
      <c r="W144">
        <f t="shared" si="152"/>
        <v>238.46508575484756</v>
      </c>
      <c r="X144">
        <f t="shared" si="152"/>
        <v>307.21718852728463</v>
      </c>
    </row>
    <row r="146" spans="4:25" x14ac:dyDescent="0.25">
      <c r="D146" s="25" t="s">
        <v>179</v>
      </c>
      <c r="E146">
        <f>IF(E144&lt;$J$122,$J$123,IF(E144&lt;$K$122,$K$123,IF(E144&lt;$L$122,$L$123,$M$123)))</f>
        <v>20</v>
      </c>
      <c r="F146">
        <f t="shared" ref="F146:X146" si="153">IF(F144&lt;$J$122,$J$123,IF(F144&lt;$K$122,$K$123,IF(F144&lt;$L$122,$L$123,$M$123)))</f>
        <v>20</v>
      </c>
      <c r="G146">
        <f t="shared" si="153"/>
        <v>20</v>
      </c>
      <c r="H146">
        <f t="shared" si="153"/>
        <v>20</v>
      </c>
      <c r="I146">
        <f t="shared" si="153"/>
        <v>20</v>
      </c>
      <c r="J146">
        <f t="shared" si="153"/>
        <v>20</v>
      </c>
      <c r="K146">
        <f t="shared" si="153"/>
        <v>25.000000000000011</v>
      </c>
      <c r="L146">
        <f t="shared" si="153"/>
        <v>25.000000000000011</v>
      </c>
      <c r="M146">
        <f t="shared" si="153"/>
        <v>25.000000000000011</v>
      </c>
      <c r="N146">
        <f t="shared" si="153"/>
        <v>25.000000000000011</v>
      </c>
      <c r="O146">
        <f t="shared" si="153"/>
        <v>25.000000000000011</v>
      </c>
      <c r="P146">
        <f t="shared" si="153"/>
        <v>25.000000000000011</v>
      </c>
      <c r="Q146">
        <f t="shared" si="153"/>
        <v>25.000000000000011</v>
      </c>
      <c r="R146">
        <f t="shared" si="153"/>
        <v>25.000000000000011</v>
      </c>
      <c r="S146">
        <f t="shared" si="153"/>
        <v>25.000000000000011</v>
      </c>
      <c r="T146">
        <f t="shared" si="153"/>
        <v>25.000000000000011</v>
      </c>
      <c r="U146">
        <f t="shared" si="153"/>
        <v>25.000000000000011</v>
      </c>
      <c r="V146">
        <f t="shared" si="153"/>
        <v>25.000000000000011</v>
      </c>
      <c r="W146">
        <f t="shared" si="153"/>
        <v>25.000000000000011</v>
      </c>
      <c r="X146">
        <f t="shared" si="153"/>
        <v>25.000000000000011</v>
      </c>
    </row>
    <row r="147" spans="4:25" x14ac:dyDescent="0.25">
      <c r="D147" s="25" t="s">
        <v>180</v>
      </c>
      <c r="E147">
        <f>IF(E144&lt;$J$122,$J$124,IF(E144&lt;$K$122,$K$124,IF(E144&lt;$L$122,$L$124,$M$124)))</f>
        <v>-0.6020599913279624</v>
      </c>
      <c r="F147">
        <f t="shared" ref="F147:X147" si="154">IF(F144&lt;$J$122,$J$124,IF(F144&lt;$K$122,$K$124,IF(F144&lt;$L$122,$L$124,$M$124)))</f>
        <v>-0.6020599913279624</v>
      </c>
      <c r="G147">
        <f t="shared" si="154"/>
        <v>-0.6020599913279624</v>
      </c>
      <c r="H147">
        <f t="shared" si="154"/>
        <v>-0.6020599913279624</v>
      </c>
      <c r="I147">
        <f t="shared" si="154"/>
        <v>-0.6020599913279624</v>
      </c>
      <c r="J147">
        <f t="shared" si="154"/>
        <v>-0.6020599913279624</v>
      </c>
      <c r="K147">
        <f t="shared" si="154"/>
        <v>-0.69897000433601886</v>
      </c>
      <c r="L147">
        <f t="shared" si="154"/>
        <v>-0.69897000433601886</v>
      </c>
      <c r="M147">
        <f t="shared" si="154"/>
        <v>-0.69897000433601886</v>
      </c>
      <c r="N147">
        <f t="shared" si="154"/>
        <v>-0.69897000433601886</v>
      </c>
      <c r="O147">
        <f t="shared" si="154"/>
        <v>-0.69897000433601886</v>
      </c>
      <c r="P147">
        <f t="shared" si="154"/>
        <v>-0.69897000433601886</v>
      </c>
      <c r="Q147">
        <f t="shared" si="154"/>
        <v>-0.69897000433601886</v>
      </c>
      <c r="R147">
        <f t="shared" si="154"/>
        <v>-0.69897000433601886</v>
      </c>
      <c r="S147">
        <f t="shared" si="154"/>
        <v>-0.69897000433601886</v>
      </c>
      <c r="T147">
        <f t="shared" si="154"/>
        <v>-0.69897000433601886</v>
      </c>
      <c r="U147">
        <f t="shared" si="154"/>
        <v>-0.69897000433601886</v>
      </c>
      <c r="V147">
        <f t="shared" si="154"/>
        <v>-0.69897000433601886</v>
      </c>
      <c r="W147">
        <f t="shared" si="154"/>
        <v>-0.69897000433601886</v>
      </c>
      <c r="X147">
        <f t="shared" si="154"/>
        <v>-0.69897000433601886</v>
      </c>
    </row>
    <row r="149" spans="4:25" x14ac:dyDescent="0.25">
      <c r="D149" s="25" t="s">
        <v>401</v>
      </c>
      <c r="E149">
        <f t="shared" ref="E149:I149" si="155">E146*E144^E147*VINMAX</f>
        <v>734.68119685438444</v>
      </c>
      <c r="F149">
        <f t="shared" si="155"/>
        <v>634.87171167947849</v>
      </c>
      <c r="G149">
        <f t="shared" si="155"/>
        <v>548.60852930378996</v>
      </c>
      <c r="H149">
        <f t="shared" si="155"/>
        <v>474.05179387411516</v>
      </c>
      <c r="I149">
        <f t="shared" si="155"/>
        <v>409.61140717181109</v>
      </c>
      <c r="J149">
        <f>J146*J144^J147*VINMAX</f>
        <v>353.91311253630414</v>
      </c>
      <c r="K149">
        <f t="shared" ref="K149:V149" si="156">K146*K144^K147*VINMAX</f>
        <v>299.19150358466646</v>
      </c>
      <c r="L149">
        <f t="shared" si="156"/>
        <v>252.45496082484328</v>
      </c>
      <c r="M149">
        <f t="shared" si="156"/>
        <v>212.99369247374713</v>
      </c>
      <c r="N149">
        <f t="shared" si="156"/>
        <v>179.67334379379645</v>
      </c>
      <c r="O149">
        <f t="shared" si="156"/>
        <v>151.53631528827549</v>
      </c>
      <c r="P149">
        <f t="shared" si="156"/>
        <v>127.77422203851782</v>
      </c>
      <c r="Q149">
        <f t="shared" si="156"/>
        <v>107.70464776769036</v>
      </c>
      <c r="R149">
        <f t="shared" si="156"/>
        <v>90.751525303252194</v>
      </c>
      <c r="S149">
        <f t="shared" si="156"/>
        <v>76.428579530939317</v>
      </c>
      <c r="T149">
        <f t="shared" si="156"/>
        <v>64.325357115075491</v>
      </c>
      <c r="U149">
        <f t="shared" si="156"/>
        <v>54.095441705280642</v>
      </c>
      <c r="V149">
        <f t="shared" si="156"/>
        <v>45.446516137591182</v>
      </c>
      <c r="W149">
        <f>W146*W144^W147*VINMAX</f>
        <v>38.131985970963939</v>
      </c>
      <c r="X149">
        <f t="shared" ref="X149" si="157">X146*X144^X147*VINMAX</f>
        <v>31.943922937125723</v>
      </c>
    </row>
    <row r="150" spans="4:25" x14ac:dyDescent="0.25">
      <c r="D150" s="25" t="s">
        <v>402</v>
      </c>
      <c r="E150">
        <f>E149*($J$117-$E$118)/($J$117 - 25)</f>
        <v>612.23433071198701</v>
      </c>
      <c r="F150">
        <f t="shared" ref="F150:X150" si="158">F149*($J$117-$E$118)/($J$117 - 25)</f>
        <v>529.05975973289878</v>
      </c>
      <c r="G150">
        <f t="shared" si="158"/>
        <v>457.17377441982495</v>
      </c>
      <c r="H150">
        <f t="shared" si="158"/>
        <v>395.04316156176264</v>
      </c>
      <c r="I150">
        <f t="shared" si="158"/>
        <v>341.34283930984259</v>
      </c>
      <c r="J150">
        <f t="shared" si="158"/>
        <v>294.92759378025346</v>
      </c>
      <c r="K150">
        <f t="shared" si="158"/>
        <v>249.32625298722206</v>
      </c>
      <c r="L150">
        <f t="shared" si="158"/>
        <v>210.37913402070274</v>
      </c>
      <c r="M150">
        <f t="shared" si="158"/>
        <v>177.49474372812261</v>
      </c>
      <c r="N150">
        <f t="shared" si="158"/>
        <v>149.72778649483035</v>
      </c>
      <c r="O150">
        <f t="shared" si="158"/>
        <v>126.28026274022956</v>
      </c>
      <c r="P150">
        <f t="shared" si="158"/>
        <v>106.47851836543151</v>
      </c>
      <c r="Q150">
        <f t="shared" si="158"/>
        <v>89.75387313974197</v>
      </c>
      <c r="R150">
        <f t="shared" si="158"/>
        <v>75.626271086043488</v>
      </c>
      <c r="S150">
        <f t="shared" si="158"/>
        <v>63.690482942449428</v>
      </c>
      <c r="T150">
        <f t="shared" si="158"/>
        <v>53.604464262562914</v>
      </c>
      <c r="U150">
        <f t="shared" si="158"/>
        <v>45.079534754400534</v>
      </c>
      <c r="V150">
        <f t="shared" si="158"/>
        <v>37.872096781325986</v>
      </c>
      <c r="W150">
        <f t="shared" si="158"/>
        <v>31.776654975803286</v>
      </c>
      <c r="X150">
        <f t="shared" si="158"/>
        <v>26.619935780938103</v>
      </c>
    </row>
    <row r="151" spans="4:25" x14ac:dyDescent="0.25">
      <c r="D151" s="25" t="s">
        <v>404</v>
      </c>
      <c r="E151">
        <f>E150/E143</f>
        <v>3.3129563350215749E-3</v>
      </c>
      <c r="F151">
        <f>F150/F143</f>
        <v>3.648093169749692E-3</v>
      </c>
      <c r="G151">
        <f>G150/G143</f>
        <v>4.0170353932360587E-3</v>
      </c>
      <c r="H151">
        <f t="shared" ref="H151:J151" si="159">H150/H143</f>
        <v>4.4231539462739472E-3</v>
      </c>
      <c r="I151">
        <f t="shared" si="159"/>
        <v>4.8701401733845708E-3</v>
      </c>
      <c r="J151">
        <f t="shared" si="159"/>
        <v>5.3620298848082821E-3</v>
      </c>
      <c r="K151">
        <f>K150/K143</f>
        <v>5.7762368223241434E-3</v>
      </c>
      <c r="L151">
        <f t="shared" ref="L151:X151" si="160">L150/L143</f>
        <v>6.2107321733230409E-3</v>
      </c>
      <c r="M151">
        <f t="shared" si="160"/>
        <v>6.6771140259292792E-3</v>
      </c>
      <c r="N151">
        <f t="shared" si="160"/>
        <v>7.1774282282132829E-3</v>
      </c>
      <c r="O151">
        <f t="shared" si="160"/>
        <v>7.7137416424821054E-3</v>
      </c>
      <c r="P151">
        <f t="shared" si="160"/>
        <v>8.288095933322014E-3</v>
      </c>
      <c r="Q151">
        <f t="shared" si="160"/>
        <v>8.9024414603705894E-3</v>
      </c>
      <c r="R151">
        <f t="shared" si="160"/>
        <v>9.5585446430141406E-3</v>
      </c>
      <c r="S151">
        <f t="shared" si="160"/>
        <v>1.0257860428785402E-2</v>
      </c>
      <c r="T151">
        <f t="shared" si="160"/>
        <v>1.1001359620567088E-2</v>
      </c>
      <c r="U151">
        <f t="shared" si="160"/>
        <v>1.1789299061433365E-2</v>
      </c>
      <c r="V151">
        <f t="shared" si="160"/>
        <v>1.2620921564988648E-2</v>
      </c>
      <c r="W151">
        <f t="shared" si="160"/>
        <v>1.3494072952748917E-2</v>
      </c>
      <c r="X151">
        <f t="shared" si="160"/>
        <v>1.4404727154187285E-2</v>
      </c>
    </row>
    <row r="153" spans="4:25" x14ac:dyDescent="0.25">
      <c r="D153" s="25" t="s">
        <v>408</v>
      </c>
      <c r="E153" t="str">
        <f>IF(E151&gt;$E$119, "Y", "N")</f>
        <v>N</v>
      </c>
      <c r="F153" t="str">
        <f t="shared" ref="F153:X153" si="161">IF(F151&gt;$E$119, "Y", "N")</f>
        <v>N</v>
      </c>
      <c r="G153" t="str">
        <f t="shared" si="161"/>
        <v>N</v>
      </c>
      <c r="H153" t="str">
        <f t="shared" si="161"/>
        <v>N</v>
      </c>
      <c r="I153" t="str">
        <f t="shared" si="161"/>
        <v>N</v>
      </c>
      <c r="J153" t="str">
        <f t="shared" si="161"/>
        <v>N</v>
      </c>
      <c r="K153" t="str">
        <f t="shared" si="161"/>
        <v>N</v>
      </c>
      <c r="L153" t="str">
        <f t="shared" si="161"/>
        <v>N</v>
      </c>
      <c r="M153" t="str">
        <f t="shared" si="161"/>
        <v>N</v>
      </c>
      <c r="N153" t="str">
        <f t="shared" si="161"/>
        <v>N</v>
      </c>
      <c r="O153" t="str">
        <f t="shared" si="161"/>
        <v>N</v>
      </c>
      <c r="P153" t="str">
        <f t="shared" si="161"/>
        <v>N</v>
      </c>
      <c r="Q153" t="str">
        <f t="shared" si="161"/>
        <v>N</v>
      </c>
      <c r="R153" t="str">
        <f t="shared" si="161"/>
        <v>N</v>
      </c>
      <c r="S153" t="str">
        <f t="shared" si="161"/>
        <v>N</v>
      </c>
      <c r="T153" t="str">
        <f t="shared" si="161"/>
        <v>N</v>
      </c>
      <c r="U153" t="str">
        <f t="shared" si="161"/>
        <v>N</v>
      </c>
      <c r="V153" t="str">
        <f t="shared" si="161"/>
        <v>N</v>
      </c>
      <c r="W153" t="str">
        <f t="shared" si="161"/>
        <v>N</v>
      </c>
      <c r="X153" t="str">
        <f t="shared" si="161"/>
        <v>N</v>
      </c>
      <c r="Y153" t="s">
        <v>411</v>
      </c>
    </row>
    <row r="154" spans="4:25" x14ac:dyDescent="0.25">
      <c r="D154" s="25" t="s">
        <v>409</v>
      </c>
      <c r="E154">
        <f>IF(E153="Y", 1, 0)</f>
        <v>0</v>
      </c>
      <c r="F154">
        <f>IF(AND(F153="Y", E153="N"),  1, 0)</f>
        <v>0</v>
      </c>
      <c r="G154">
        <f t="shared" ref="G154" si="162">IF(AND(G153="Y", F153="N"),  1, 0)</f>
        <v>0</v>
      </c>
      <c r="H154">
        <f t="shared" ref="H154" si="163">IF(AND(H153="Y", G153="N"),  1, 0)</f>
        <v>0</v>
      </c>
      <c r="I154">
        <f t="shared" ref="I154" si="164">IF(AND(I153="Y", H153="N"),  1, 0)</f>
        <v>0</v>
      </c>
      <c r="J154">
        <f t="shared" ref="J154" si="165">IF(AND(J153="Y", I153="N"),  1, 0)</f>
        <v>0</v>
      </c>
      <c r="K154">
        <f t="shared" ref="K154" si="166">IF(AND(K153="Y", J153="N"),  1, 0)</f>
        <v>0</v>
      </c>
      <c r="L154">
        <f t="shared" ref="L154" si="167">IF(AND(L153="Y", K153="N"),  1, 0)</f>
        <v>0</v>
      </c>
      <c r="M154">
        <f t="shared" ref="M154" si="168">IF(AND(M153="Y", L153="N"),  1, 0)</f>
        <v>0</v>
      </c>
      <c r="N154">
        <f t="shared" ref="N154" si="169">IF(AND(N153="Y", M153="N"),  1, 0)</f>
        <v>0</v>
      </c>
      <c r="O154">
        <f t="shared" ref="O154" si="170">IF(AND(O153="Y", N153="N"),  1, 0)</f>
        <v>0</v>
      </c>
      <c r="P154">
        <f t="shared" ref="P154" si="171">IF(AND(P153="Y", O153="N"),  1, 0)</f>
        <v>0</v>
      </c>
      <c r="Q154">
        <f t="shared" ref="Q154" si="172">IF(AND(Q153="Y", P153="N"),  1, 0)</f>
        <v>0</v>
      </c>
      <c r="R154">
        <f t="shared" ref="R154" si="173">IF(AND(R153="Y", Q153="N"),  1, 0)</f>
        <v>0</v>
      </c>
      <c r="S154">
        <f t="shared" ref="S154" si="174">IF(AND(S153="Y", R153="N"),  1, 0)</f>
        <v>0</v>
      </c>
      <c r="T154">
        <f t="shared" ref="T154" si="175">IF(AND(T153="Y", S153="N"),  1, 0)</f>
        <v>0</v>
      </c>
      <c r="U154">
        <f t="shared" ref="U154" si="176">IF(AND(U153="Y", T153="N"),  1, 0)</f>
        <v>0</v>
      </c>
      <c r="V154">
        <f t="shared" ref="V154" si="177">IF(AND(V153="Y", U153="N"),  1, 0)</f>
        <v>0</v>
      </c>
      <c r="W154">
        <f t="shared" ref="W154" si="178">IF(AND(W153="Y", V153="N"),  1, 0)</f>
        <v>0</v>
      </c>
      <c r="X154">
        <f t="shared" ref="X154" si="179">IF(AND(X153="Y", W153="N"),  1, 0)</f>
        <v>0</v>
      </c>
    </row>
    <row r="155" spans="4:25" x14ac:dyDescent="0.25">
      <c r="D155" s="25" t="s">
        <v>410</v>
      </c>
      <c r="E155">
        <v>0</v>
      </c>
      <c r="F155">
        <f>IF(AND(F153="Y", G153="N"),  1, 0)</f>
        <v>0</v>
      </c>
      <c r="G155">
        <f t="shared" ref="G155" si="180">IF(AND(G153="Y", H153="N"),  1, 0)</f>
        <v>0</v>
      </c>
      <c r="H155">
        <f t="shared" ref="H155" si="181">IF(AND(H153="Y", I153="N"),  1, 0)</f>
        <v>0</v>
      </c>
      <c r="I155">
        <f t="shared" ref="I155" si="182">IF(AND(I153="Y", J153="N"),  1, 0)</f>
        <v>0</v>
      </c>
      <c r="J155">
        <f t="shared" ref="J155" si="183">IF(AND(J153="Y", K153="N"),  1, 0)</f>
        <v>0</v>
      </c>
      <c r="K155">
        <f t="shared" ref="K155" si="184">IF(AND(K153="Y", L153="N"),  1, 0)</f>
        <v>0</v>
      </c>
      <c r="L155">
        <f t="shared" ref="L155" si="185">IF(AND(L153="Y", M153="N"),  1, 0)</f>
        <v>0</v>
      </c>
      <c r="M155">
        <f t="shared" ref="M155" si="186">IF(AND(M153="Y", N153="N"),  1, 0)</f>
        <v>0</v>
      </c>
      <c r="N155">
        <f t="shared" ref="N155" si="187">IF(AND(N153="Y", O153="N"),  1, 0)</f>
        <v>0</v>
      </c>
      <c r="O155">
        <f t="shared" ref="O155" si="188">IF(AND(O153="Y", P153="N"),  1, 0)</f>
        <v>0</v>
      </c>
      <c r="P155">
        <f t="shared" ref="P155" si="189">IF(AND(P153="Y", Q153="N"),  1, 0)</f>
        <v>0</v>
      </c>
      <c r="Q155">
        <f t="shared" ref="Q155" si="190">IF(AND(Q153="Y", R153="N"),  1, 0)</f>
        <v>0</v>
      </c>
      <c r="R155">
        <f t="shared" ref="R155" si="191">IF(AND(R153="Y", S153="N"),  1, 0)</f>
        <v>0</v>
      </c>
      <c r="S155">
        <f t="shared" ref="S155" si="192">IF(AND(S153="Y", T153="N"),  1, 0)</f>
        <v>0</v>
      </c>
      <c r="T155">
        <f t="shared" ref="T155" si="193">IF(AND(T153="Y", U153="N"),  1, 0)</f>
        <v>0</v>
      </c>
      <c r="U155">
        <f t="shared" ref="U155" si="194">IF(AND(U153="Y", V153="N"),  1, 0)</f>
        <v>0</v>
      </c>
      <c r="V155">
        <f t="shared" ref="V155" si="195">IF(AND(V153="Y", W153="N"),  1, 0)</f>
        <v>0</v>
      </c>
      <c r="W155">
        <f t="shared" ref="W155" si="196">IF(AND(W153="Y", X153="N"),  1, 0)</f>
        <v>0</v>
      </c>
      <c r="X155">
        <f t="shared" ref="X155" si="197">IF(AND(X153="Y", Y153="N"),  1, 0)</f>
        <v>0</v>
      </c>
    </row>
    <row r="157" spans="4:25" x14ac:dyDescent="0.25">
      <c r="D157" t="s">
        <v>412</v>
      </c>
      <c r="E157">
        <f>E154*E134</f>
        <v>0</v>
      </c>
      <c r="F157">
        <f t="shared" ref="F157:X157" si="198">F154*F134</f>
        <v>0</v>
      </c>
      <c r="G157">
        <f t="shared" si="198"/>
        <v>0</v>
      </c>
      <c r="H157">
        <f t="shared" si="198"/>
        <v>0</v>
      </c>
      <c r="I157">
        <f t="shared" si="198"/>
        <v>0</v>
      </c>
      <c r="J157">
        <f t="shared" si="198"/>
        <v>0</v>
      </c>
      <c r="K157">
        <f t="shared" si="198"/>
        <v>0</v>
      </c>
      <c r="L157">
        <f t="shared" si="198"/>
        <v>0</v>
      </c>
      <c r="M157">
        <f t="shared" si="198"/>
        <v>0</v>
      </c>
      <c r="N157">
        <f t="shared" si="198"/>
        <v>0</v>
      </c>
      <c r="O157">
        <f t="shared" si="198"/>
        <v>0</v>
      </c>
      <c r="P157">
        <f t="shared" si="198"/>
        <v>0</v>
      </c>
      <c r="Q157">
        <f t="shared" si="198"/>
        <v>0</v>
      </c>
      <c r="R157">
        <f t="shared" si="198"/>
        <v>0</v>
      </c>
      <c r="S157">
        <f t="shared" si="198"/>
        <v>0</v>
      </c>
      <c r="T157">
        <f t="shared" si="198"/>
        <v>0</v>
      </c>
      <c r="U157">
        <f t="shared" si="198"/>
        <v>0</v>
      </c>
      <c r="V157">
        <f t="shared" si="198"/>
        <v>0</v>
      </c>
      <c r="W157">
        <f t="shared" si="198"/>
        <v>0</v>
      </c>
      <c r="X157">
        <f t="shared" si="198"/>
        <v>0</v>
      </c>
    </row>
    <row r="158" spans="4:25" x14ac:dyDescent="0.25">
      <c r="D158" t="s">
        <v>413</v>
      </c>
      <c r="E158">
        <f>E134*E155</f>
        <v>0</v>
      </c>
      <c r="F158">
        <f t="shared" ref="F158:X158" si="199">F134*F155</f>
        <v>0</v>
      </c>
      <c r="G158">
        <f t="shared" si="199"/>
        <v>0</v>
      </c>
      <c r="H158">
        <f t="shared" si="199"/>
        <v>0</v>
      </c>
      <c r="I158">
        <f t="shared" si="199"/>
        <v>0</v>
      </c>
      <c r="J158">
        <f t="shared" si="199"/>
        <v>0</v>
      </c>
      <c r="K158">
        <f t="shared" si="199"/>
        <v>0</v>
      </c>
      <c r="L158">
        <f t="shared" si="199"/>
        <v>0</v>
      </c>
      <c r="M158">
        <f t="shared" si="199"/>
        <v>0</v>
      </c>
      <c r="N158">
        <f t="shared" si="199"/>
        <v>0</v>
      </c>
      <c r="O158">
        <f t="shared" si="199"/>
        <v>0</v>
      </c>
      <c r="P158">
        <f t="shared" si="199"/>
        <v>0</v>
      </c>
      <c r="Q158">
        <f t="shared" si="199"/>
        <v>0</v>
      </c>
      <c r="R158">
        <f t="shared" si="199"/>
        <v>0</v>
      </c>
      <c r="S158">
        <f t="shared" si="199"/>
        <v>0</v>
      </c>
      <c r="T158">
        <f t="shared" si="199"/>
        <v>0</v>
      </c>
      <c r="U158">
        <f t="shared" si="199"/>
        <v>0</v>
      </c>
      <c r="V158">
        <f t="shared" si="199"/>
        <v>0</v>
      </c>
      <c r="W158">
        <f t="shared" si="199"/>
        <v>0</v>
      </c>
      <c r="X158">
        <f t="shared" si="199"/>
        <v>0</v>
      </c>
    </row>
  </sheetData>
  <phoneticPr fontId="58" type="noConversion"/>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F72F43736E84F41BD4B3E7ABAD1B9F8" ma:contentTypeVersion="0" ma:contentTypeDescription="Create a new document." ma:contentTypeScope="" ma:versionID="6d41e9362d2f52e62f002b8bc1f10a2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7BC8CF0-B24A-4CAA-85F9-D802C37E37E1}">
  <ds:schemaRefs>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purl.org/dc/elements/1.1/"/>
    <ds:schemaRef ds:uri="http://www.w3.org/XML/1998/namespace"/>
    <ds:schemaRef ds:uri="http://schemas.microsoft.com/office/infopath/2007/PartnerControls"/>
    <ds:schemaRef ds:uri="http://purl.org/dc/terms/"/>
  </ds:schemaRefs>
</ds:datastoreItem>
</file>

<file path=customXml/itemProps2.xml><?xml version="1.0" encoding="utf-8"?>
<ds:datastoreItem xmlns:ds="http://schemas.openxmlformats.org/officeDocument/2006/customXml" ds:itemID="{9BABF7D0-BF3C-434F-A857-BC6AE8086814}">
  <ds:schemaRefs>
    <ds:schemaRef ds:uri="http://schemas.microsoft.com/sharepoint/v3/contenttype/forms"/>
  </ds:schemaRefs>
</ds:datastoreItem>
</file>

<file path=customXml/itemProps3.xml><?xml version="1.0" encoding="utf-8"?>
<ds:datastoreItem xmlns:ds="http://schemas.openxmlformats.org/officeDocument/2006/customXml" ds:itemID="{96E2E466-1778-444A-875B-984896DCECC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43</vt:i4>
      </vt:variant>
    </vt:vector>
  </HeadingPairs>
  <TitlesOfParts>
    <vt:vector size="52" baseType="lpstr">
      <vt:lpstr>Instructions</vt:lpstr>
      <vt:lpstr>Design Calculator</vt:lpstr>
      <vt:lpstr>Device Parameters</vt:lpstr>
      <vt:lpstr>Equations</vt:lpstr>
      <vt:lpstr>MOSFET Database 24V</vt:lpstr>
      <vt:lpstr>MOSFET Database 48V</vt:lpstr>
      <vt:lpstr>Start_up</vt:lpstr>
      <vt:lpstr>SOA</vt:lpstr>
      <vt:lpstr>dv_dt_recommendations</vt:lpstr>
      <vt:lpstr>CLMAX</vt:lpstr>
      <vt:lpstr>CLMAX_Threshold</vt:lpstr>
      <vt:lpstr>CLMIN</vt:lpstr>
      <vt:lpstr>CLMIN_Threshold</vt:lpstr>
      <vt:lpstr>CLNOM</vt:lpstr>
      <vt:lpstr>CLNOM_Threshold</vt:lpstr>
      <vt:lpstr>COUTMAX</vt:lpstr>
      <vt:lpstr>I_Cout_ss</vt:lpstr>
      <vt:lpstr>IOUTMAX</vt:lpstr>
      <vt:lpstr>NUMFETS1</vt:lpstr>
      <vt:lpstr>NUMFETS2</vt:lpstr>
      <vt:lpstr>NUMFETS3</vt:lpstr>
      <vt:lpstr>'Design Calculator'!Print_Area</vt:lpstr>
      <vt:lpstr>RDIV1</vt:lpstr>
      <vt:lpstr>RDIV2</vt:lpstr>
      <vt:lpstr>RDSON</vt:lpstr>
      <vt:lpstr>RPWR</vt:lpstr>
      <vt:lpstr>Rs</vt:lpstr>
      <vt:lpstr>RsEFF</vt:lpstr>
      <vt:lpstr>RsMAX</vt:lpstr>
      <vt:lpstr>SFET24_1</vt:lpstr>
      <vt:lpstr>SFET24_2</vt:lpstr>
      <vt:lpstr>SFET48_1</vt:lpstr>
      <vt:lpstr>SFET48_2</vt:lpstr>
      <vt:lpstr>ss_rate</vt:lpstr>
      <vt:lpstr>TAMB</vt:lpstr>
      <vt:lpstr>Tfault</vt:lpstr>
      <vt:lpstr>ThetaJA</vt:lpstr>
      <vt:lpstr>TINSERT</vt:lpstr>
      <vt:lpstr>TINSERTMAX</vt:lpstr>
      <vt:lpstr>TINSERTMIN</vt:lpstr>
      <vt:lpstr>TJ</vt:lpstr>
      <vt:lpstr>TJDC1</vt:lpstr>
      <vt:lpstr>TJDC2</vt:lpstr>
      <vt:lpstr>TJDC3</vt:lpstr>
      <vt:lpstr>TJMAX</vt:lpstr>
      <vt:lpstr>TSTARTMAX</vt:lpstr>
      <vt:lpstr>TSTARTMIN</vt:lpstr>
      <vt:lpstr>TSTARTNOM</vt:lpstr>
      <vt:lpstr>VINMAX</vt:lpstr>
      <vt:lpstr>VINMIN</vt:lpstr>
      <vt:lpstr>VINNOM</vt:lpstr>
      <vt:lpstr>yesno</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LM5066i Design Calculator with FET Recommendation</dc:title>
  <dc:creator>Panguloori, Rakesh</dc:creator>
  <cp:lastModifiedBy>강희 이</cp:lastModifiedBy>
  <cp:lastPrinted>2013-08-26T22:42:43Z</cp:lastPrinted>
  <dcterms:created xsi:type="dcterms:W3CDTF">2009-04-21T16:00:33Z</dcterms:created>
  <dcterms:modified xsi:type="dcterms:W3CDTF">2025-12-09T01:56:38Z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0x010100CF72F43736E84F41BD4B3E7ABAD1B9F8</vt:lpwstr>
  </property>
</Properties>
</file>