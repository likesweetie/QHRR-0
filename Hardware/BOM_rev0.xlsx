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kes\Desktop\QHRR-0-leg_test\Hardware\"/>
    </mc:Choice>
  </mc:AlternateContent>
  <xr:revisionPtr revIDLastSave="0" documentId="13_ncr:1_{8514FF7F-58CE-4A42-950A-7D5E8B927EB6}" xr6:coauthVersionLast="47" xr6:coauthVersionMax="47" xr10:uidLastSave="{00000000-0000-0000-0000-000000000000}"/>
  <bookViews>
    <workbookView xWindow="-30828" yWindow="-108" windowWidth="30936" windowHeight="16776" xr2:uid="{F2ACFB83-4DFB-44F9-8FED-958DF5679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" i="1" l="1"/>
  <c r="N10" i="1"/>
  <c r="N11" i="1"/>
  <c r="N12" i="1"/>
  <c r="N14" i="1"/>
  <c r="N15" i="1"/>
  <c r="N16" i="1"/>
  <c r="N17" i="1"/>
  <c r="N18" i="1"/>
  <c r="N19" i="1"/>
  <c r="N20" i="1"/>
  <c r="N21" i="1"/>
  <c r="N24" i="1"/>
  <c r="N22" i="1"/>
  <c r="N23" i="1"/>
  <c r="N28" i="1"/>
  <c r="N29" i="1"/>
  <c r="N30" i="1"/>
  <c r="N32" i="1"/>
  <c r="N33" i="1"/>
  <c r="N34" i="1"/>
  <c r="N35" i="1"/>
  <c r="N27" i="1"/>
  <c r="N9" i="1"/>
  <c r="N8" i="1"/>
  <c r="N26" i="1"/>
  <c r="M2" i="1" l="1"/>
  <c r="N25" i="1"/>
  <c r="N5" i="1"/>
  <c r="N6" i="1"/>
  <c r="N7" i="1"/>
  <c r="N4" i="1"/>
  <c r="M1" i="1" l="1"/>
</calcChain>
</file>

<file path=xl/sharedStrings.xml><?xml version="1.0" encoding="utf-8"?>
<sst xmlns="http://schemas.openxmlformats.org/spreadsheetml/2006/main" count="218" uniqueCount="105">
  <si>
    <t>Control PC</t>
    <phoneticPr fontId="1" type="noConversion"/>
  </si>
  <si>
    <t>Part Number</t>
    <phoneticPr fontId="1" type="noConversion"/>
  </si>
  <si>
    <t>Part Name</t>
    <phoneticPr fontId="1" type="noConversion"/>
  </si>
  <si>
    <t>Part Description</t>
    <phoneticPr fontId="1" type="noConversion"/>
  </si>
  <si>
    <t>Qty.</t>
    <phoneticPr fontId="1" type="noConversion"/>
  </si>
  <si>
    <t>Price/Qty</t>
    <phoneticPr fontId="1" type="noConversion"/>
  </si>
  <si>
    <t>Price</t>
    <phoneticPr fontId="1" type="noConversion"/>
  </si>
  <si>
    <t>Class</t>
    <phoneticPr fontId="1" type="noConversion"/>
  </si>
  <si>
    <t>Supplier</t>
    <phoneticPr fontId="1" type="noConversion"/>
  </si>
  <si>
    <t>Spec / Model</t>
    <phoneticPr fontId="1" type="noConversion"/>
  </si>
  <si>
    <t>Electronics</t>
    <phoneticPr fontId="1" type="noConversion"/>
  </si>
  <si>
    <t>Rev</t>
    <phoneticPr fontId="1" type="noConversion"/>
  </si>
  <si>
    <t>Software</t>
    <phoneticPr fontId="1" type="noConversion"/>
  </si>
  <si>
    <t>S-01</t>
    <phoneticPr fontId="1" type="noConversion"/>
  </si>
  <si>
    <t>SQLite</t>
    <phoneticPr fontId="1" type="noConversion"/>
  </si>
  <si>
    <t>Type</t>
    <phoneticPr fontId="1" type="noConversion"/>
  </si>
  <si>
    <t>OpenBOM</t>
    <phoneticPr fontId="1" type="noConversion"/>
  </si>
  <si>
    <t>ASUS NUC 15 Pro+ NUC15CRSU9 (베어본)</t>
    <phoneticPr fontId="1" type="noConversion"/>
  </si>
  <si>
    <t>Component</t>
    <phoneticPr fontId="1" type="noConversion"/>
  </si>
  <si>
    <t>WSLP5931L1000FEA 션트저항 0.1m옴</t>
    <phoneticPr fontId="1" type="noConversion"/>
  </si>
  <si>
    <t>WireViz</t>
    <phoneticPr fontId="1" type="noConversion"/>
  </si>
  <si>
    <t>ZeroMQ</t>
  </si>
  <si>
    <t>원격 메시징 라이브러리</t>
    <phoneticPr fontId="1" type="noConversion"/>
  </si>
  <si>
    <t>googletest</t>
    <phoneticPr fontId="1" type="noConversion"/>
  </si>
  <si>
    <t xml:space="preserve">PRM48AF480T400A00 </t>
    <phoneticPr fontId="1" type="noConversion"/>
  </si>
  <si>
    <t>VTM48EF160T015A00</t>
    <phoneticPr fontId="1" type="noConversion"/>
  </si>
  <si>
    <t>Kvaser M.2 PCIe 4xCAN</t>
    <phoneticPr fontId="1" type="noConversion"/>
  </si>
  <si>
    <t>Vicor</t>
    <phoneticPr fontId="1" type="noConversion"/>
  </si>
  <si>
    <t>Manufacturer</t>
    <phoneticPr fontId="1" type="noConversion"/>
  </si>
  <si>
    <t>ASUS</t>
    <phoneticPr fontId="1" type="noConversion"/>
  </si>
  <si>
    <t>KVASER</t>
    <phoneticPr fontId="1" type="noConversion"/>
  </si>
  <si>
    <t>E-Switch</t>
    <phoneticPr fontId="1" type="noConversion"/>
  </si>
  <si>
    <t>Heat Sink</t>
    <phoneticPr fontId="1" type="noConversion"/>
  </si>
  <si>
    <t>JCL PCB</t>
    <phoneticPr fontId="1" type="noConversion"/>
  </si>
  <si>
    <t>Retail</t>
    <phoneticPr fontId="1" type="noConversion"/>
  </si>
  <si>
    <t xml:space="preserve">EBIMU-9DOFV6 </t>
    <phoneticPr fontId="1" type="noConversion"/>
  </si>
  <si>
    <t>IMU</t>
    <phoneticPr fontId="1" type="noConversion"/>
  </si>
  <si>
    <t>PVHC7F23SS644 SWITCH PUSHBUTTON SPST 20A 250V</t>
    <phoneticPr fontId="1" type="noConversion"/>
  </si>
  <si>
    <t>20A 250V</t>
    <phoneticPr fontId="1" type="noConversion"/>
  </si>
  <si>
    <t>m.2 SSD 1TB 2280</t>
    <phoneticPr fontId="1" type="noConversion"/>
  </si>
  <si>
    <t>삼성전자</t>
    <phoneticPr fontId="1" type="noConversion"/>
  </si>
  <si>
    <t>NUCLEO-G0B1RE</t>
    <phoneticPr fontId="1" type="noConversion"/>
  </si>
  <si>
    <t>NUCLEO-H723ZG</t>
    <phoneticPr fontId="1" type="noConversion"/>
  </si>
  <si>
    <t>STMicroelectronics</t>
    <phoneticPr fontId="1" type="noConversion"/>
  </si>
  <si>
    <t>이투박스</t>
    <phoneticPr fontId="1" type="noConversion"/>
  </si>
  <si>
    <t>하이닉스</t>
    <phoneticPr fontId="1" type="noConversion"/>
  </si>
  <si>
    <t>CAN</t>
    <phoneticPr fontId="1" type="noConversion"/>
  </si>
  <si>
    <t>총액</t>
    <phoneticPr fontId="1" type="noConversion"/>
  </si>
  <si>
    <t>ULS-5/20-D48N-C</t>
    <phoneticPr fontId="1" type="noConversion"/>
  </si>
  <si>
    <t>AMC1306M25QDWVRQ1</t>
    <phoneticPr fontId="1" type="noConversion"/>
  </si>
  <si>
    <t>ADC 컨버터</t>
    <phoneticPr fontId="1" type="noConversion"/>
  </si>
  <si>
    <t>MCU</t>
    <phoneticPr fontId="1" type="noConversion"/>
  </si>
  <si>
    <t>DC/DC 컨버터</t>
    <phoneticPr fontId="1" type="noConversion"/>
  </si>
  <si>
    <t>션트저항</t>
    <phoneticPr fontId="1" type="noConversion"/>
  </si>
  <si>
    <t>쇼트키 다이오드</t>
    <phoneticPr fontId="1" type="noConversion"/>
  </si>
  <si>
    <t>B380-13-F</t>
    <phoneticPr fontId="1" type="noConversion"/>
  </si>
  <si>
    <t xml:space="preserve">	Diodes Incorporated</t>
    <phoneticPr fontId="1" type="noConversion"/>
  </si>
  <si>
    <t>스위칭다이오드</t>
    <phoneticPr fontId="1" type="noConversion"/>
  </si>
  <si>
    <t>배터리 전원 FET</t>
    <phoneticPr fontId="1" type="noConversion"/>
  </si>
  <si>
    <t>TI</t>
    <phoneticPr fontId="1" type="noConversion"/>
  </si>
  <si>
    <t>구매?</t>
  </si>
  <si>
    <t>서류처리?</t>
  </si>
  <si>
    <t>구매기안중</t>
    <phoneticPr fontId="1" type="noConversion"/>
  </si>
  <si>
    <t>BJT TR</t>
    <phoneticPr fontId="1" type="noConversion"/>
  </si>
  <si>
    <t>Diotec Semiconductor</t>
    <phoneticPr fontId="1" type="noConversion"/>
  </si>
  <si>
    <t>MMBT3904</t>
    <phoneticPr fontId="1" type="noConversion"/>
  </si>
  <si>
    <t>CSD19536KTT</t>
    <phoneticPr fontId="1" type="noConversion"/>
  </si>
  <si>
    <t xml:space="preserve">ESD 다이오드 69.4VC </t>
    <phoneticPr fontId="1" type="noConversion"/>
  </si>
  <si>
    <t>5.0SMDJ43CAS</t>
    <phoneticPr fontId="1" type="noConversion"/>
  </si>
  <si>
    <t>Littelfuse Inc.</t>
    <phoneticPr fontId="1" type="noConversion"/>
  </si>
  <si>
    <t>전원스위치</t>
    <phoneticPr fontId="1" type="noConversion"/>
  </si>
  <si>
    <t>Murata Power</t>
    <phoneticPr fontId="1" type="noConversion"/>
  </si>
  <si>
    <t>Vishay Dale</t>
    <phoneticPr fontId="1" type="noConversion"/>
  </si>
  <si>
    <t>Samtec</t>
    <phoneticPr fontId="1" type="noConversion"/>
  </si>
  <si>
    <t xml:space="preserve">	Changzhou Amass Elec</t>
    <phoneticPr fontId="1" type="noConversion"/>
  </si>
  <si>
    <t>전원 커넥터</t>
    <phoneticPr fontId="1" type="noConversion"/>
  </si>
  <si>
    <t>신호 커넥터</t>
    <phoneticPr fontId="1" type="noConversion"/>
  </si>
  <si>
    <t>XT60PW-M</t>
    <phoneticPr fontId="1" type="noConversion"/>
  </si>
  <si>
    <t>SSW-138-01-T-S</t>
    <phoneticPr fontId="1" type="noConversion"/>
  </si>
  <si>
    <t xml:space="preserve">	TE Connectivity</t>
    <phoneticPr fontId="1" type="noConversion"/>
  </si>
  <si>
    <t>2311765-1</t>
    <phoneticPr fontId="1" type="noConversion"/>
  </si>
  <si>
    <t>Priority</t>
    <phoneticPr fontId="1" type="noConversion"/>
  </si>
  <si>
    <t xml:space="preserve">삼성전자 노트북 램 DDR5- 32GB </t>
    <phoneticPr fontId="1" type="noConversion"/>
  </si>
  <si>
    <t>1순위 총액</t>
    <phoneticPr fontId="1" type="noConversion"/>
  </si>
  <si>
    <t>구분</t>
  </si>
  <si>
    <t>SPG RISE 재료비</t>
    <phoneticPr fontId="1" type="noConversion"/>
  </si>
  <si>
    <t>손잡이</t>
    <phoneticPr fontId="1" type="noConversion"/>
  </si>
  <si>
    <t>C-NUHFN160</t>
    <phoneticPr fontId="1" type="noConversion"/>
  </si>
  <si>
    <t>태성 RISE 재료비</t>
    <phoneticPr fontId="1" type="noConversion"/>
  </si>
  <si>
    <t>Mechanical</t>
    <phoneticPr fontId="1" type="noConversion"/>
  </si>
  <si>
    <t>미스미</t>
    <phoneticPr fontId="1" type="noConversion"/>
  </si>
  <si>
    <t>디바이스마트</t>
    <phoneticPr fontId="1" type="noConversion"/>
  </si>
  <si>
    <t>쉬멕스 풀림방지 볼트 M4 50pcs</t>
    <phoneticPr fontId="1" type="noConversion"/>
  </si>
  <si>
    <t>쉬멕스 풀림방지 볼트 M3 50pcs</t>
    <phoneticPr fontId="1" type="noConversion"/>
  </si>
  <si>
    <t>쉬멕스</t>
    <phoneticPr fontId="1" type="noConversion"/>
  </si>
  <si>
    <t>볼트</t>
    <phoneticPr fontId="1" type="noConversion"/>
  </si>
  <si>
    <t>핀</t>
    <phoneticPr fontId="1" type="noConversion"/>
  </si>
  <si>
    <t>각종 FC에 사용하는 GH1.25</t>
    <phoneticPr fontId="1" type="noConversion"/>
  </si>
  <si>
    <t>WSLP59311L000FEB 션트저항 1m옴</t>
    <phoneticPr fontId="1" type="noConversion"/>
  </si>
  <si>
    <t>1N4148W-7-F</t>
    <phoneticPr fontId="1" type="noConversion"/>
  </si>
  <si>
    <t>Male 플러그 4핀 [LP-16-C04PE-02-001]</t>
    <phoneticPr fontId="1" type="noConversion"/>
  </si>
  <si>
    <t>Female 원형 소켓 4핀 [LP-16-J04SX-02-101]</t>
    <phoneticPr fontId="1" type="noConversion"/>
  </si>
  <si>
    <t>crinco</t>
    <phoneticPr fontId="1" type="noConversion"/>
  </si>
  <si>
    <t>디바이스마트</t>
  </si>
  <si>
    <t>위치 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</si>
</sst>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80" formatCode="_-&quot;₩&quot;* #,##0_-;\-&quot;₩&quot;* #,##0_-;_-&quot;₩&quot;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1" xfId="0" applyFont="1" applyBorder="1">
      <alignment vertical="center"/>
    </xf>
    <xf numFmtId="42" fontId="3" fillId="0" borderId="1" xfId="1" applyFont="1" applyBorder="1">
      <alignment vertical="center"/>
    </xf>
    <xf numFmtId="42" fontId="0" fillId="0" borderId="0" xfId="1" applyFont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3">
    <cellStyle name="통화 [0]" xfId="1" builtinId="7"/>
    <cellStyle name="통화 [0] 2" xfId="2" xr:uid="{3879C7D2-4F1F-4F39-B567-2691B749F20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C934-0714-41EF-9439-2A146256264B}">
  <dimension ref="A1:S46"/>
  <sheetViews>
    <sheetView tabSelected="1" zoomScaleNormal="100" workbookViewId="0">
      <selection activeCell="M31" sqref="M31"/>
    </sheetView>
  </sheetViews>
  <sheetFormatPr defaultRowHeight="17.399999999999999" x14ac:dyDescent="0.4"/>
  <cols>
    <col min="1" max="1" width="19.09765625" bestFit="1" customWidth="1"/>
    <col min="2" max="2" width="4.3984375" bestFit="1" customWidth="1"/>
    <col min="3" max="3" width="10" customWidth="1"/>
    <col min="4" max="4" width="11.09765625" bestFit="1" customWidth="1"/>
    <col min="5" max="6" width="8.59765625" customWidth="1"/>
    <col min="7" max="7" width="38.69921875" bestFit="1" customWidth="1"/>
    <col min="8" max="8" width="20" bestFit="1" customWidth="1"/>
    <col min="10" max="10" width="12.796875" bestFit="1" customWidth="1"/>
    <col min="11" max="11" width="20.3984375" bestFit="1" customWidth="1"/>
    <col min="12" max="12" width="12.3984375" bestFit="1" customWidth="1"/>
    <col min="13" max="14" width="12.19921875" style="4" bestFit="1" customWidth="1"/>
    <col min="15" max="15" width="10.3984375" bestFit="1" customWidth="1"/>
    <col min="17" max="17" width="15.19921875" bestFit="1" customWidth="1"/>
  </cols>
  <sheetData>
    <row r="1" spans="1:19" x14ac:dyDescent="0.4">
      <c r="L1" s="4" t="s">
        <v>47</v>
      </c>
      <c r="M1" s="4">
        <f>SUM(N:N)</f>
        <v>4096015</v>
      </c>
    </row>
    <row r="2" spans="1:19" x14ac:dyDescent="0.4">
      <c r="L2" t="s">
        <v>83</v>
      </c>
      <c r="M2" s="4">
        <f>SUMIF(F:F,1,N:N)</f>
        <v>3685553</v>
      </c>
    </row>
    <row r="3" spans="1:19" ht="19.8" thickBot="1" x14ac:dyDescent="0.45">
      <c r="A3" s="2" t="s">
        <v>1</v>
      </c>
      <c r="B3" s="2" t="s">
        <v>11</v>
      </c>
      <c r="C3" s="2" t="s">
        <v>7</v>
      </c>
      <c r="D3" s="2" t="s">
        <v>15</v>
      </c>
      <c r="E3" s="2" t="s">
        <v>34</v>
      </c>
      <c r="F3" s="2" t="s">
        <v>81</v>
      </c>
      <c r="G3" s="2" t="s">
        <v>2</v>
      </c>
      <c r="H3" s="2" t="s">
        <v>3</v>
      </c>
      <c r="I3" s="2" t="s">
        <v>4</v>
      </c>
      <c r="J3" s="2" t="s">
        <v>9</v>
      </c>
      <c r="K3" s="2" t="s">
        <v>28</v>
      </c>
      <c r="L3" s="2" t="s">
        <v>8</v>
      </c>
      <c r="M3" s="3" t="s">
        <v>5</v>
      </c>
      <c r="N3" s="3" t="s">
        <v>6</v>
      </c>
      <c r="O3" s="3" t="s">
        <v>61</v>
      </c>
      <c r="P3" s="3" t="s">
        <v>60</v>
      </c>
      <c r="Q3" s="3" t="s">
        <v>84</v>
      </c>
      <c r="R3" s="3"/>
      <c r="S3" s="3"/>
    </row>
    <row r="4" spans="1:19" ht="16.8" customHeight="1" thickTop="1" x14ac:dyDescent="0.4">
      <c r="B4">
        <v>0</v>
      </c>
      <c r="C4" t="s">
        <v>10</v>
      </c>
      <c r="D4" t="s">
        <v>18</v>
      </c>
      <c r="E4" t="b">
        <v>1</v>
      </c>
      <c r="F4">
        <v>1</v>
      </c>
      <c r="G4" t="s">
        <v>17</v>
      </c>
      <c r="H4" t="s">
        <v>0</v>
      </c>
      <c r="I4">
        <v>1</v>
      </c>
      <c r="K4" t="s">
        <v>29</v>
      </c>
      <c r="M4" s="4">
        <v>1400000</v>
      </c>
      <c r="N4" s="4">
        <f t="shared" ref="N4:N30" si="0">M4*I4</f>
        <v>1400000</v>
      </c>
      <c r="O4" t="s">
        <v>62</v>
      </c>
      <c r="Q4" t="s">
        <v>85</v>
      </c>
    </row>
    <row r="5" spans="1:19" x14ac:dyDescent="0.4">
      <c r="B5">
        <v>0</v>
      </c>
      <c r="C5" t="s">
        <v>10</v>
      </c>
      <c r="D5" t="s">
        <v>18</v>
      </c>
      <c r="E5" t="b">
        <v>1</v>
      </c>
      <c r="F5">
        <v>1</v>
      </c>
      <c r="G5" t="s">
        <v>82</v>
      </c>
      <c r="H5" t="s">
        <v>0</v>
      </c>
      <c r="I5">
        <v>1</v>
      </c>
      <c r="K5" t="s">
        <v>40</v>
      </c>
      <c r="M5" s="4">
        <v>350000</v>
      </c>
      <c r="N5" s="4">
        <f t="shared" si="0"/>
        <v>350000</v>
      </c>
      <c r="O5" t="s">
        <v>62</v>
      </c>
      <c r="Q5" t="s">
        <v>85</v>
      </c>
    </row>
    <row r="6" spans="1:19" x14ac:dyDescent="0.4">
      <c r="B6">
        <v>0</v>
      </c>
      <c r="C6" t="s">
        <v>10</v>
      </c>
      <c r="D6" t="s">
        <v>18</v>
      </c>
      <c r="E6" t="b">
        <v>1</v>
      </c>
      <c r="F6">
        <v>1</v>
      </c>
      <c r="G6" t="s">
        <v>39</v>
      </c>
      <c r="H6" t="s">
        <v>0</v>
      </c>
      <c r="I6">
        <v>1</v>
      </c>
      <c r="K6" t="s">
        <v>45</v>
      </c>
      <c r="M6" s="4">
        <v>400000</v>
      </c>
      <c r="N6" s="4">
        <f t="shared" si="0"/>
        <v>400000</v>
      </c>
      <c r="O6" t="s">
        <v>62</v>
      </c>
      <c r="Q6" t="s">
        <v>85</v>
      </c>
    </row>
    <row r="7" spans="1:19" x14ac:dyDescent="0.4">
      <c r="B7">
        <v>0</v>
      </c>
      <c r="C7" t="s">
        <v>10</v>
      </c>
      <c r="D7" t="s">
        <v>18</v>
      </c>
      <c r="E7" t="b">
        <v>1</v>
      </c>
      <c r="F7">
        <v>1</v>
      </c>
      <c r="G7" t="s">
        <v>26</v>
      </c>
      <c r="H7" t="s">
        <v>46</v>
      </c>
      <c r="I7">
        <v>1</v>
      </c>
      <c r="K7" t="s">
        <v>30</v>
      </c>
      <c r="M7" s="4">
        <v>770000</v>
      </c>
      <c r="N7" s="4">
        <f t="shared" si="0"/>
        <v>770000</v>
      </c>
      <c r="O7" t="s">
        <v>62</v>
      </c>
      <c r="Q7" t="s">
        <v>85</v>
      </c>
    </row>
    <row r="8" spans="1:19" x14ac:dyDescent="0.4">
      <c r="C8" t="s">
        <v>10</v>
      </c>
      <c r="D8" t="s">
        <v>18</v>
      </c>
      <c r="E8" t="b">
        <v>1</v>
      </c>
      <c r="F8">
        <v>1</v>
      </c>
      <c r="G8" s="1" t="s">
        <v>35</v>
      </c>
      <c r="H8" t="s">
        <v>36</v>
      </c>
      <c r="I8">
        <v>1</v>
      </c>
      <c r="K8" t="s">
        <v>44</v>
      </c>
      <c r="L8" t="s">
        <v>91</v>
      </c>
      <c r="M8" s="4">
        <v>173800</v>
      </c>
      <c r="N8" s="4">
        <f t="shared" si="0"/>
        <v>173800</v>
      </c>
      <c r="Q8" t="s">
        <v>85</v>
      </c>
    </row>
    <row r="9" spans="1:19" x14ac:dyDescent="0.4">
      <c r="C9" t="s">
        <v>10</v>
      </c>
      <c r="D9" t="s">
        <v>18</v>
      </c>
      <c r="E9" t="b">
        <v>1</v>
      </c>
      <c r="F9">
        <v>1</v>
      </c>
      <c r="G9" s="1" t="s">
        <v>41</v>
      </c>
      <c r="H9" t="s">
        <v>51</v>
      </c>
      <c r="I9">
        <v>1</v>
      </c>
      <c r="K9" t="s">
        <v>43</v>
      </c>
      <c r="L9" t="s">
        <v>91</v>
      </c>
      <c r="M9" s="4">
        <v>21230</v>
      </c>
      <c r="N9" s="4">
        <f t="shared" si="0"/>
        <v>21230</v>
      </c>
      <c r="Q9" t="s">
        <v>85</v>
      </c>
    </row>
    <row r="10" spans="1:19" x14ac:dyDescent="0.4">
      <c r="C10" t="s">
        <v>10</v>
      </c>
      <c r="D10" t="s">
        <v>18</v>
      </c>
      <c r="E10" t="b">
        <v>1</v>
      </c>
      <c r="F10">
        <v>1</v>
      </c>
      <c r="G10" s="1" t="s">
        <v>48</v>
      </c>
      <c r="H10" t="s">
        <v>52</v>
      </c>
      <c r="I10">
        <v>1</v>
      </c>
      <c r="L10" t="s">
        <v>91</v>
      </c>
      <c r="M10" s="4">
        <v>77539</v>
      </c>
      <c r="N10" s="4">
        <f t="shared" si="0"/>
        <v>77539</v>
      </c>
      <c r="Q10" t="s">
        <v>85</v>
      </c>
    </row>
    <row r="11" spans="1:19" ht="34.799999999999997" x14ac:dyDescent="0.4">
      <c r="C11" t="s">
        <v>10</v>
      </c>
      <c r="D11" t="s">
        <v>18</v>
      </c>
      <c r="E11" t="b">
        <v>1</v>
      </c>
      <c r="F11">
        <v>1</v>
      </c>
      <c r="G11" s="1" t="s">
        <v>37</v>
      </c>
      <c r="H11" t="s">
        <v>70</v>
      </c>
      <c r="I11">
        <v>1</v>
      </c>
      <c r="J11" t="s">
        <v>38</v>
      </c>
      <c r="K11" t="s">
        <v>31</v>
      </c>
      <c r="L11" t="s">
        <v>91</v>
      </c>
      <c r="M11" s="4">
        <v>47652</v>
      </c>
      <c r="N11" s="4">
        <f t="shared" si="0"/>
        <v>47652</v>
      </c>
      <c r="Q11" t="s">
        <v>85</v>
      </c>
    </row>
    <row r="12" spans="1:19" x14ac:dyDescent="0.4">
      <c r="C12" t="s">
        <v>10</v>
      </c>
      <c r="D12" t="s">
        <v>18</v>
      </c>
      <c r="E12" t="b">
        <v>1</v>
      </c>
      <c r="F12">
        <v>1</v>
      </c>
      <c r="G12" s="1" t="s">
        <v>49</v>
      </c>
      <c r="H12" t="s">
        <v>50</v>
      </c>
      <c r="I12">
        <v>5</v>
      </c>
      <c r="K12" t="s">
        <v>71</v>
      </c>
      <c r="L12" t="s">
        <v>91</v>
      </c>
      <c r="M12" s="4">
        <v>10593</v>
      </c>
      <c r="N12" s="4">
        <f t="shared" si="0"/>
        <v>52965</v>
      </c>
      <c r="Q12" t="s">
        <v>85</v>
      </c>
    </row>
    <row r="13" spans="1:19" x14ac:dyDescent="0.4">
      <c r="C13" t="s">
        <v>10</v>
      </c>
      <c r="D13" t="s">
        <v>18</v>
      </c>
      <c r="E13" t="b">
        <v>1</v>
      </c>
      <c r="F13">
        <v>1</v>
      </c>
      <c r="G13" s="1" t="s">
        <v>98</v>
      </c>
      <c r="H13" t="s">
        <v>53</v>
      </c>
      <c r="I13">
        <v>2</v>
      </c>
      <c r="K13" t="s">
        <v>72</v>
      </c>
      <c r="L13" t="s">
        <v>91</v>
      </c>
      <c r="M13" s="4">
        <v>5731</v>
      </c>
      <c r="N13" s="4">
        <f t="shared" si="0"/>
        <v>11462</v>
      </c>
    </row>
    <row r="14" spans="1:19" x14ac:dyDescent="0.4">
      <c r="C14" t="s">
        <v>10</v>
      </c>
      <c r="D14" t="s">
        <v>18</v>
      </c>
      <c r="E14" t="b">
        <v>1</v>
      </c>
      <c r="F14">
        <v>1</v>
      </c>
      <c r="G14" t="s">
        <v>19</v>
      </c>
      <c r="H14" t="s">
        <v>53</v>
      </c>
      <c r="I14">
        <v>2</v>
      </c>
      <c r="K14" t="s">
        <v>72</v>
      </c>
      <c r="L14" t="s">
        <v>91</v>
      </c>
      <c r="M14" s="4">
        <v>6347</v>
      </c>
      <c r="N14" s="4">
        <f t="shared" si="0"/>
        <v>12694</v>
      </c>
      <c r="Q14" t="s">
        <v>85</v>
      </c>
    </row>
    <row r="15" spans="1:19" x14ac:dyDescent="0.4">
      <c r="C15" t="s">
        <v>10</v>
      </c>
      <c r="D15" t="s">
        <v>18</v>
      </c>
      <c r="E15" t="b">
        <v>1</v>
      </c>
      <c r="F15">
        <v>1</v>
      </c>
      <c r="G15" s="1" t="s">
        <v>55</v>
      </c>
      <c r="H15" t="s">
        <v>54</v>
      </c>
      <c r="I15">
        <v>5</v>
      </c>
      <c r="K15" t="s">
        <v>56</v>
      </c>
      <c r="L15" t="s">
        <v>91</v>
      </c>
      <c r="M15" s="4">
        <v>1595</v>
      </c>
      <c r="N15" s="4">
        <f t="shared" si="0"/>
        <v>7975</v>
      </c>
      <c r="Q15" t="s">
        <v>85</v>
      </c>
    </row>
    <row r="16" spans="1:19" x14ac:dyDescent="0.4">
      <c r="C16" t="s">
        <v>10</v>
      </c>
      <c r="D16" t="s">
        <v>18</v>
      </c>
      <c r="E16" t="b">
        <v>1</v>
      </c>
      <c r="F16">
        <v>1</v>
      </c>
      <c r="G16" t="s">
        <v>99</v>
      </c>
      <c r="H16" t="s">
        <v>57</v>
      </c>
      <c r="I16">
        <v>10</v>
      </c>
      <c r="K16" t="s">
        <v>56</v>
      </c>
      <c r="L16" t="s">
        <v>91</v>
      </c>
      <c r="M16" s="4">
        <v>198</v>
      </c>
      <c r="N16" s="4">
        <f t="shared" si="0"/>
        <v>1980</v>
      </c>
      <c r="Q16" t="s">
        <v>85</v>
      </c>
    </row>
    <row r="17" spans="3:17" x14ac:dyDescent="0.4">
      <c r="C17" t="s">
        <v>10</v>
      </c>
      <c r="D17" t="s">
        <v>18</v>
      </c>
      <c r="E17" t="b">
        <v>1</v>
      </c>
      <c r="F17">
        <v>1</v>
      </c>
      <c r="G17" s="1" t="s">
        <v>66</v>
      </c>
      <c r="H17" t="s">
        <v>58</v>
      </c>
      <c r="I17">
        <v>10</v>
      </c>
      <c r="K17" t="s">
        <v>59</v>
      </c>
      <c r="L17" t="s">
        <v>91</v>
      </c>
      <c r="M17" s="4">
        <v>9922</v>
      </c>
      <c r="N17" s="4">
        <f t="shared" si="0"/>
        <v>99220</v>
      </c>
      <c r="Q17" t="s">
        <v>85</v>
      </c>
    </row>
    <row r="18" spans="3:17" x14ac:dyDescent="0.4">
      <c r="C18" t="s">
        <v>10</v>
      </c>
      <c r="D18" t="s">
        <v>18</v>
      </c>
      <c r="E18" t="b">
        <v>1</v>
      </c>
      <c r="F18">
        <v>1</v>
      </c>
      <c r="G18" t="s">
        <v>65</v>
      </c>
      <c r="H18" t="s">
        <v>63</v>
      </c>
      <c r="I18">
        <v>20</v>
      </c>
      <c r="K18" t="s">
        <v>64</v>
      </c>
      <c r="L18" t="s">
        <v>91</v>
      </c>
      <c r="M18" s="4">
        <v>187</v>
      </c>
      <c r="N18" s="4">
        <f t="shared" si="0"/>
        <v>3740</v>
      </c>
      <c r="Q18" t="s">
        <v>85</v>
      </c>
    </row>
    <row r="19" spans="3:17" x14ac:dyDescent="0.4">
      <c r="C19" t="s">
        <v>10</v>
      </c>
      <c r="D19" t="s">
        <v>18</v>
      </c>
      <c r="E19" t="b">
        <v>1</v>
      </c>
      <c r="F19">
        <v>1</v>
      </c>
      <c r="G19" s="1" t="s">
        <v>68</v>
      </c>
      <c r="H19" t="s">
        <v>67</v>
      </c>
      <c r="I19">
        <v>10</v>
      </c>
      <c r="K19" t="s">
        <v>69</v>
      </c>
      <c r="L19" t="s">
        <v>91</v>
      </c>
      <c r="M19" s="4">
        <v>3938</v>
      </c>
      <c r="N19" s="4">
        <f t="shared" si="0"/>
        <v>39380</v>
      </c>
      <c r="Q19" t="s">
        <v>85</v>
      </c>
    </row>
    <row r="20" spans="3:17" x14ac:dyDescent="0.4">
      <c r="C20" t="s">
        <v>10</v>
      </c>
      <c r="D20" t="s">
        <v>18</v>
      </c>
      <c r="E20" t="b">
        <v>1</v>
      </c>
      <c r="F20">
        <v>1</v>
      </c>
      <c r="G20" t="s">
        <v>78</v>
      </c>
      <c r="H20" t="s">
        <v>76</v>
      </c>
      <c r="I20">
        <v>4</v>
      </c>
      <c r="K20" t="s">
        <v>73</v>
      </c>
      <c r="L20" t="s">
        <v>91</v>
      </c>
      <c r="M20" s="4">
        <v>5742</v>
      </c>
      <c r="N20" s="4">
        <f t="shared" si="0"/>
        <v>22968</v>
      </c>
      <c r="Q20" t="s">
        <v>85</v>
      </c>
    </row>
    <row r="21" spans="3:17" x14ac:dyDescent="0.4">
      <c r="C21" t="s">
        <v>10</v>
      </c>
      <c r="D21" t="s">
        <v>18</v>
      </c>
      <c r="E21" t="b">
        <v>1</v>
      </c>
      <c r="F21">
        <v>1</v>
      </c>
      <c r="G21" s="1" t="s">
        <v>77</v>
      </c>
      <c r="H21" t="s">
        <v>75</v>
      </c>
      <c r="I21">
        <v>10</v>
      </c>
      <c r="K21" t="s">
        <v>74</v>
      </c>
      <c r="L21" t="s">
        <v>91</v>
      </c>
      <c r="M21" s="4">
        <v>1089</v>
      </c>
      <c r="N21" s="4">
        <f t="shared" si="0"/>
        <v>10890</v>
      </c>
      <c r="Q21" t="s">
        <v>85</v>
      </c>
    </row>
    <row r="22" spans="3:17" x14ac:dyDescent="0.4">
      <c r="C22" t="s">
        <v>10</v>
      </c>
      <c r="D22" t="s">
        <v>18</v>
      </c>
      <c r="E22" t="b">
        <v>1</v>
      </c>
      <c r="F22">
        <v>1</v>
      </c>
      <c r="G22" s="1" t="s">
        <v>100</v>
      </c>
      <c r="H22" t="s">
        <v>75</v>
      </c>
      <c r="I22">
        <v>4</v>
      </c>
      <c r="K22" t="s">
        <v>102</v>
      </c>
      <c r="L22" s="5" t="s">
        <v>103</v>
      </c>
      <c r="M22" s="4">
        <v>7040</v>
      </c>
      <c r="N22" s="4">
        <f t="shared" si="0"/>
        <v>28160</v>
      </c>
      <c r="Q22" t="s">
        <v>85</v>
      </c>
    </row>
    <row r="23" spans="3:17" x14ac:dyDescent="0.4">
      <c r="C23" t="s">
        <v>10</v>
      </c>
      <c r="D23" t="s">
        <v>18</v>
      </c>
      <c r="E23" t="b">
        <v>1</v>
      </c>
      <c r="F23">
        <v>1</v>
      </c>
      <c r="G23" s="1" t="s">
        <v>101</v>
      </c>
      <c r="H23" t="s">
        <v>75</v>
      </c>
      <c r="I23">
        <v>4</v>
      </c>
      <c r="K23" t="s">
        <v>102</v>
      </c>
      <c r="L23" s="6" t="s">
        <v>103</v>
      </c>
      <c r="M23" s="4">
        <v>5280</v>
      </c>
      <c r="N23" s="4">
        <f t="shared" si="0"/>
        <v>21120</v>
      </c>
      <c r="Q23" t="s">
        <v>85</v>
      </c>
    </row>
    <row r="24" spans="3:17" x14ac:dyDescent="0.4">
      <c r="C24" t="s">
        <v>10</v>
      </c>
      <c r="D24" t="s">
        <v>18</v>
      </c>
      <c r="E24" t="b">
        <v>1</v>
      </c>
      <c r="F24">
        <v>1</v>
      </c>
      <c r="G24" t="s">
        <v>80</v>
      </c>
      <c r="H24" t="s">
        <v>76</v>
      </c>
      <c r="I24">
        <v>2</v>
      </c>
      <c r="K24" t="s">
        <v>79</v>
      </c>
      <c r="L24" t="s">
        <v>91</v>
      </c>
      <c r="M24" s="4">
        <v>4169</v>
      </c>
      <c r="N24" s="4">
        <f t="shared" si="0"/>
        <v>8338</v>
      </c>
    </row>
    <row r="25" spans="3:17" x14ac:dyDescent="0.4">
      <c r="C25" t="s">
        <v>10</v>
      </c>
      <c r="D25" t="s">
        <v>18</v>
      </c>
      <c r="E25" t="b">
        <v>1</v>
      </c>
      <c r="F25">
        <v>2</v>
      </c>
      <c r="G25" t="s">
        <v>24</v>
      </c>
      <c r="H25" t="s">
        <v>52</v>
      </c>
      <c r="I25">
        <v>1</v>
      </c>
      <c r="K25" t="s">
        <v>27</v>
      </c>
      <c r="L25" t="s">
        <v>91</v>
      </c>
      <c r="M25" s="4">
        <v>226072</v>
      </c>
      <c r="N25" s="4">
        <f t="shared" si="0"/>
        <v>226072</v>
      </c>
      <c r="Q25" t="s">
        <v>85</v>
      </c>
    </row>
    <row r="26" spans="3:17" x14ac:dyDescent="0.4">
      <c r="C26" t="s">
        <v>10</v>
      </c>
      <c r="D26" t="s">
        <v>18</v>
      </c>
      <c r="E26" t="b">
        <v>1</v>
      </c>
      <c r="F26">
        <v>2</v>
      </c>
      <c r="G26" t="s">
        <v>25</v>
      </c>
      <c r="H26" t="s">
        <v>52</v>
      </c>
      <c r="I26">
        <v>1</v>
      </c>
      <c r="K26" t="s">
        <v>27</v>
      </c>
      <c r="L26" t="s">
        <v>91</v>
      </c>
      <c r="M26" s="4">
        <v>130520</v>
      </c>
      <c r="N26" s="4">
        <f t="shared" si="0"/>
        <v>130520</v>
      </c>
    </row>
    <row r="27" spans="3:17" x14ac:dyDescent="0.4">
      <c r="C27" t="s">
        <v>10</v>
      </c>
      <c r="D27" t="s">
        <v>18</v>
      </c>
      <c r="E27" t="b">
        <v>1</v>
      </c>
      <c r="F27">
        <v>2</v>
      </c>
      <c r="G27" s="1" t="s">
        <v>42</v>
      </c>
      <c r="H27" t="s">
        <v>51</v>
      </c>
      <c r="I27">
        <v>1</v>
      </c>
      <c r="K27" t="s">
        <v>43</v>
      </c>
      <c r="L27" t="s">
        <v>91</v>
      </c>
      <c r="M27" s="4">
        <v>53870</v>
      </c>
      <c r="N27" s="4">
        <f t="shared" si="0"/>
        <v>53870</v>
      </c>
    </row>
    <row r="28" spans="3:17" x14ac:dyDescent="0.4">
      <c r="C28" t="s">
        <v>89</v>
      </c>
      <c r="D28" t="s">
        <v>18</v>
      </c>
      <c r="E28" t="b">
        <v>1</v>
      </c>
      <c r="F28">
        <v>1</v>
      </c>
      <c r="G28" t="s">
        <v>87</v>
      </c>
      <c r="H28" t="s">
        <v>86</v>
      </c>
      <c r="I28">
        <v>5</v>
      </c>
      <c r="L28" t="s">
        <v>90</v>
      </c>
      <c r="M28" s="4">
        <v>8888</v>
      </c>
      <c r="N28" s="4">
        <f t="shared" si="0"/>
        <v>44440</v>
      </c>
      <c r="Q28" t="s">
        <v>88</v>
      </c>
    </row>
    <row r="29" spans="3:17" x14ac:dyDescent="0.4">
      <c r="C29" t="s">
        <v>89</v>
      </c>
      <c r="D29" t="s">
        <v>18</v>
      </c>
      <c r="E29" t="b">
        <v>1</v>
      </c>
      <c r="F29">
        <v>1</v>
      </c>
      <c r="G29" t="s">
        <v>93</v>
      </c>
      <c r="H29" t="s">
        <v>95</v>
      </c>
      <c r="I29">
        <v>1</v>
      </c>
      <c r="K29" t="s">
        <v>94</v>
      </c>
      <c r="L29" t="s">
        <v>94</v>
      </c>
      <c r="M29" s="4">
        <v>40000</v>
      </c>
      <c r="N29" s="4">
        <f t="shared" si="0"/>
        <v>40000</v>
      </c>
    </row>
    <row r="30" spans="3:17" x14ac:dyDescent="0.4">
      <c r="C30" t="s">
        <v>89</v>
      </c>
      <c r="D30" t="s">
        <v>18</v>
      </c>
      <c r="E30" t="b">
        <v>1</v>
      </c>
      <c r="F30">
        <v>1</v>
      </c>
      <c r="G30" t="s">
        <v>92</v>
      </c>
      <c r="H30" t="s">
        <v>95</v>
      </c>
      <c r="I30">
        <v>1</v>
      </c>
      <c r="K30" t="s">
        <v>94</v>
      </c>
      <c r="L30" t="s">
        <v>94</v>
      </c>
      <c r="M30" s="4">
        <v>40000</v>
      </c>
      <c r="N30" s="4">
        <f t="shared" si="0"/>
        <v>40000</v>
      </c>
    </row>
    <row r="31" spans="3:17" x14ac:dyDescent="0.4">
      <c r="C31" t="s">
        <v>89</v>
      </c>
      <c r="D31" t="s">
        <v>18</v>
      </c>
      <c r="E31" t="b">
        <v>1</v>
      </c>
      <c r="F31">
        <v>1</v>
      </c>
      <c r="G31" t="s">
        <v>96</v>
      </c>
      <c r="H31" t="s">
        <v>104</v>
      </c>
      <c r="I31">
        <v>10</v>
      </c>
      <c r="K31" s="6" t="s">
        <v>90</v>
      </c>
      <c r="L31" s="6" t="s">
        <v>90</v>
      </c>
    </row>
    <row r="32" spans="3:17" x14ac:dyDescent="0.4">
      <c r="N32" s="4">
        <f>M32*I31</f>
        <v>0</v>
      </c>
    </row>
    <row r="33" spans="1:14" x14ac:dyDescent="0.4">
      <c r="G33" t="s">
        <v>97</v>
      </c>
      <c r="N33" s="4">
        <f>M33*J32</f>
        <v>0</v>
      </c>
    </row>
    <row r="34" spans="1:14" x14ac:dyDescent="0.4">
      <c r="N34" s="4">
        <f t="shared" ref="N34:N35" si="1">M34*I34</f>
        <v>0</v>
      </c>
    </row>
    <row r="35" spans="1:14" x14ac:dyDescent="0.4">
      <c r="N35" s="4">
        <f t="shared" si="1"/>
        <v>0</v>
      </c>
    </row>
    <row r="39" spans="1:14" x14ac:dyDescent="0.4">
      <c r="C39" t="s">
        <v>12</v>
      </c>
    </row>
    <row r="40" spans="1:14" x14ac:dyDescent="0.4">
      <c r="A40" t="s">
        <v>13</v>
      </c>
      <c r="B40">
        <v>0</v>
      </c>
      <c r="C40" t="s">
        <v>14</v>
      </c>
    </row>
    <row r="41" spans="1:14" x14ac:dyDescent="0.4">
      <c r="C41" t="s">
        <v>16</v>
      </c>
    </row>
    <row r="42" spans="1:14" x14ac:dyDescent="0.4">
      <c r="C42" t="s">
        <v>20</v>
      </c>
    </row>
    <row r="43" spans="1:14" x14ac:dyDescent="0.4">
      <c r="C43" t="s">
        <v>21</v>
      </c>
      <c r="G43" t="s">
        <v>22</v>
      </c>
      <c r="K43" t="s">
        <v>33</v>
      </c>
    </row>
    <row r="44" spans="1:14" x14ac:dyDescent="0.4">
      <c r="C44" t="s">
        <v>23</v>
      </c>
    </row>
    <row r="46" spans="1:14" x14ac:dyDescent="0.4">
      <c r="E46" t="b">
        <v>0</v>
      </c>
      <c r="G46" t="s">
        <v>32</v>
      </c>
    </row>
  </sheetData>
  <sortState xmlns:xlrd2="http://schemas.microsoft.com/office/spreadsheetml/2017/richdata2" ref="A4:Q31">
    <sortCondition ref="C4:C31"/>
    <sortCondition ref="F4:F3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강희 이</dc:creator>
  <cp:lastModifiedBy>강희 이</cp:lastModifiedBy>
  <dcterms:created xsi:type="dcterms:W3CDTF">2025-11-18T03:40:23Z</dcterms:created>
  <dcterms:modified xsi:type="dcterms:W3CDTF">2026-01-13T07:29:30Z</dcterms:modified>
</cp:coreProperties>
</file>